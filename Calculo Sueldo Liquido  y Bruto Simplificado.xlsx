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tabilidad\"/>
    </mc:Choice>
  </mc:AlternateContent>
  <xr:revisionPtr revIDLastSave="0" documentId="13_ncr:1_{4F7501DC-2C37-4E2E-8EA3-F38FB01A8233}" xr6:coauthVersionLast="47" xr6:coauthVersionMax="47" xr10:uidLastSave="{00000000-0000-0000-0000-000000000000}"/>
  <bookViews>
    <workbookView xWindow="-108" yWindow="-108" windowWidth="23256" windowHeight="12456" activeTab="1" xr2:uid="{AAB92273-7E6E-40AB-A8F0-83832CFCCD04}"/>
  </bookViews>
  <sheets>
    <sheet name="DATOS PARAMETROS" sheetId="2" r:id="rId1"/>
    <sheet name="CALCULO SUELDO LIQ. A BRUTO" sheetId="1" r:id="rId2"/>
    <sheet name="CALCULO SUELDO BRUTO A LIQUIDO" sheetId="3" r:id="rId3"/>
    <sheet name="COSTO TRABAJADOR" sheetId="5" r:id="rId4"/>
    <sheet name="COSTO EMPRESA" sheetId="6" r:id="rId5"/>
    <sheet name="Hoja2" sheetId="7" r:id="rId6"/>
  </sheets>
  <definedNames>
    <definedName name="_xlnm.Print_Area" localSheetId="2">'CALCULO SUELDO BRUTO A LIQUIDO'!$B$2:$H$38</definedName>
    <definedName name="_xlnm.Print_Area" localSheetId="1">'CALCULO SUELDO LIQ. A BRUTO'!$B$2:$H$54</definedName>
    <definedName name="_xlnm.Print_Area" localSheetId="3">'COSTO TRABAJADOR'!$A$2:$C$18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3" l="1"/>
  <c r="F22" i="1"/>
  <c r="G20" i="3"/>
  <c r="G19" i="6"/>
  <c r="C7" i="7" s="1"/>
  <c r="B21" i="6"/>
  <c r="C5" i="7" s="1"/>
  <c r="J5" i="6"/>
  <c r="J12" i="6" s="1"/>
  <c r="J6" i="6"/>
  <c r="J7" i="6"/>
  <c r="J8" i="6"/>
  <c r="J9" i="6"/>
  <c r="J10" i="6"/>
  <c r="J11" i="6"/>
  <c r="J4" i="6"/>
  <c r="H12" i="6"/>
  <c r="G12" i="6"/>
  <c r="I11" i="6"/>
  <c r="I10" i="6"/>
  <c r="I9" i="6"/>
  <c r="I8" i="6"/>
  <c r="I7" i="6"/>
  <c r="I6" i="6"/>
  <c r="I5" i="6"/>
  <c r="I4" i="6"/>
  <c r="C12" i="6"/>
  <c r="B12" i="6"/>
  <c r="D9" i="6"/>
  <c r="D10" i="6"/>
  <c r="D11" i="6"/>
  <c r="D8" i="6"/>
  <c r="D6" i="6"/>
  <c r="D7" i="6"/>
  <c r="D5" i="6"/>
  <c r="D4" i="6"/>
  <c r="D12" i="6" s="1"/>
  <c r="C3" i="7" s="1"/>
  <c r="C9" i="7" s="1"/>
  <c r="C13" i="7" s="1"/>
  <c r="C31" i="1"/>
  <c r="E6" i="1"/>
  <c r="J13" i="1"/>
  <c r="J19" i="1"/>
  <c r="J12" i="1"/>
  <c r="C11" i="7" l="1"/>
  <c r="C15" i="7" s="1"/>
  <c r="I12" i="6"/>
  <c r="K12" i="6" s="1"/>
  <c r="J17" i="1"/>
  <c r="J13" i="3"/>
  <c r="J24" i="3"/>
  <c r="J23" i="1"/>
  <c r="J14" i="3" l="1"/>
  <c r="J20" i="3" l="1"/>
  <c r="J11" i="3"/>
  <c r="G6" i="3"/>
  <c r="J29" i="3" s="1"/>
  <c r="E6" i="3"/>
  <c r="O22" i="3" s="1"/>
  <c r="Q32" i="3" s="1"/>
  <c r="F25" i="3"/>
  <c r="J15" i="3"/>
  <c r="J19" i="3"/>
  <c r="F11" i="3"/>
  <c r="E11" i="3"/>
  <c r="J22" i="3" l="1"/>
  <c r="C21" i="3"/>
  <c r="O26" i="3"/>
  <c r="N27" i="3" s="1"/>
  <c r="O27" i="3"/>
  <c r="N28" i="3" s="1"/>
  <c r="Q28" i="3"/>
  <c r="O29" i="3"/>
  <c r="N30" i="3" s="1"/>
  <c r="Q30" i="3"/>
  <c r="O31" i="3"/>
  <c r="N32" i="3" s="1"/>
  <c r="O25" i="3"/>
  <c r="N26" i="3" s="1"/>
  <c r="Q26" i="3"/>
  <c r="Q27" i="3"/>
  <c r="O28" i="3"/>
  <c r="N29" i="3" s="1"/>
  <c r="Q29" i="3"/>
  <c r="O30" i="3"/>
  <c r="N31" i="3" s="1"/>
  <c r="Q31" i="3"/>
  <c r="H5" i="2" l="1"/>
  <c r="H6" i="2"/>
  <c r="H7" i="2"/>
  <c r="H8" i="2"/>
  <c r="H9" i="2"/>
  <c r="H10" i="2"/>
  <c r="H11" i="2"/>
  <c r="J14" i="1"/>
  <c r="G6" i="1"/>
  <c r="J28" i="1" s="1"/>
  <c r="B12" i="2"/>
  <c r="B13" i="2" l="1"/>
  <c r="J10" i="3"/>
  <c r="J9" i="1"/>
  <c r="F24" i="1"/>
  <c r="C20" i="1"/>
  <c r="G19" i="1"/>
  <c r="J18" i="1" s="1"/>
  <c r="J20" i="1" s="1"/>
  <c r="J10" i="1"/>
  <c r="F10" i="1"/>
  <c r="E10" i="1"/>
  <c r="O21" i="1"/>
  <c r="J15" i="1" l="1"/>
  <c r="J21" i="1"/>
  <c r="J22" i="1" s="1"/>
  <c r="J11" i="1" s="1"/>
  <c r="J9" i="3"/>
  <c r="J8" i="1"/>
  <c r="O30" i="1"/>
  <c r="N31" i="1" s="1"/>
  <c r="Q29" i="1"/>
  <c r="O28" i="1"/>
  <c r="N29" i="1" s="1"/>
  <c r="Q27" i="1"/>
  <c r="O26" i="1"/>
  <c r="N27" i="1" s="1"/>
  <c r="Q25" i="1"/>
  <c r="O24" i="1"/>
  <c r="N25" i="1" s="1"/>
  <c r="Q31" i="1"/>
  <c r="Q30" i="1"/>
  <c r="O29" i="1"/>
  <c r="N30" i="1" s="1"/>
  <c r="Q28" i="1"/>
  <c r="O27" i="1"/>
  <c r="N28" i="1" s="1"/>
  <c r="Q26" i="1"/>
  <c r="O25" i="1"/>
  <c r="N26" i="1" s="1"/>
  <c r="J25" i="1" l="1"/>
  <c r="J16" i="1" l="1"/>
  <c r="J26" i="1" s="1"/>
  <c r="G7" i="1" s="1"/>
  <c r="G11" i="3" l="1"/>
  <c r="G13" i="3" s="1"/>
  <c r="G23" i="3" s="1"/>
  <c r="G10" i="1"/>
  <c r="G12" i="1" s="1"/>
  <c r="J34" i="1" s="1"/>
  <c r="J33" i="1" l="1"/>
  <c r="J37" i="1"/>
  <c r="G22" i="1"/>
  <c r="J36" i="1"/>
  <c r="G25" i="3"/>
  <c r="G24" i="3"/>
  <c r="J25" i="3" s="1"/>
  <c r="J30" i="3" s="1"/>
  <c r="G27" i="3" s="1"/>
  <c r="J18" i="3"/>
  <c r="J21" i="3" s="1"/>
  <c r="G24" i="1"/>
  <c r="F44" i="1" s="1"/>
  <c r="G23" i="1"/>
  <c r="C13" i="5" l="1"/>
  <c r="F49" i="1"/>
  <c r="C14" i="5"/>
  <c r="F50" i="1"/>
  <c r="C6" i="5"/>
  <c r="F42" i="1"/>
  <c r="C12" i="5"/>
  <c r="F48" i="1"/>
  <c r="C7" i="5"/>
  <c r="F43" i="1"/>
  <c r="C15" i="5"/>
  <c r="F51" i="1"/>
  <c r="J31" i="1"/>
  <c r="C8" i="5"/>
  <c r="J24" i="1"/>
  <c r="J29" i="1" s="1"/>
  <c r="J27" i="1" s="1"/>
  <c r="J28" i="3"/>
  <c r="G22" i="3" s="1"/>
  <c r="M22" i="3" s="1"/>
  <c r="M32" i="3" s="1"/>
  <c r="R32" i="3" s="1"/>
  <c r="J16" i="3"/>
  <c r="J17" i="3" s="1"/>
  <c r="J23" i="3"/>
  <c r="J12" i="3" s="1"/>
  <c r="J26" i="3" s="1"/>
  <c r="C16" i="5" l="1"/>
  <c r="F52" i="1"/>
  <c r="G26" i="1"/>
  <c r="G21" i="1"/>
  <c r="M21" i="1" s="1"/>
  <c r="M27" i="1" s="1"/>
  <c r="R27" i="1" s="1"/>
  <c r="R25" i="3"/>
  <c r="M27" i="3"/>
  <c r="R27" i="3" s="1"/>
  <c r="M25" i="3"/>
  <c r="M29" i="3"/>
  <c r="R29" i="3" s="1"/>
  <c r="M31" i="3"/>
  <c r="R31" i="3" s="1"/>
  <c r="M26" i="3"/>
  <c r="R26" i="3" s="1"/>
  <c r="M30" i="3"/>
  <c r="R30" i="3" s="1"/>
  <c r="M28" i="3"/>
  <c r="R28" i="3" s="1"/>
  <c r="J27" i="3"/>
  <c r="M28" i="1" l="1"/>
  <c r="R28" i="1" s="1"/>
  <c r="M25" i="1"/>
  <c r="R25" i="1" s="1"/>
  <c r="M26" i="1"/>
  <c r="R26" i="1" s="1"/>
  <c r="M30" i="1"/>
  <c r="R30" i="1" s="1"/>
  <c r="R24" i="1"/>
  <c r="M31" i="1"/>
  <c r="R31" i="1" s="1"/>
  <c r="M24" i="1"/>
  <c r="M29" i="1"/>
  <c r="R29" i="1" s="1"/>
  <c r="N22" i="3"/>
  <c r="J31" i="3" s="1"/>
  <c r="G28" i="3" l="1"/>
  <c r="G29" i="3" s="1"/>
  <c r="G30" i="3"/>
  <c r="N21" i="1"/>
  <c r="J30" i="1" s="1"/>
  <c r="G29" i="1" s="1"/>
  <c r="G31" i="3" l="1"/>
  <c r="G27" i="1"/>
  <c r="C9" i="5" l="1"/>
  <c r="C10" i="5" s="1"/>
  <c r="C18" i="5" s="1"/>
  <c r="F45" i="1"/>
  <c r="F46" i="1" s="1"/>
  <c r="F54" i="1" s="1"/>
  <c r="G28" i="1"/>
  <c r="G30" i="1"/>
  <c r="J32" i="1" l="1"/>
  <c r="G31" i="1" s="1"/>
  <c r="G33" i="1" l="1"/>
  <c r="F40" i="1" s="1"/>
  <c r="G34" i="3"/>
  <c r="G34" i="1" l="1"/>
  <c r="C4" i="5"/>
</calcChain>
</file>

<file path=xl/sharedStrings.xml><?xml version="1.0" encoding="utf-8"?>
<sst xmlns="http://schemas.openxmlformats.org/spreadsheetml/2006/main" count="255" uniqueCount="147">
  <si>
    <t>COLACION</t>
  </si>
  <si>
    <t>HASTA</t>
  </si>
  <si>
    <t>SUELDO LIQUIDO DESEADO</t>
  </si>
  <si>
    <t>UTM</t>
  </si>
  <si>
    <t>UF</t>
  </si>
  <si>
    <t>SUELDO BASE</t>
  </si>
  <si>
    <t>CALCULOS COMPLEMENTARIOS</t>
  </si>
  <si>
    <t>TOPE SUELDO GRATIFICACION</t>
  </si>
  <si>
    <t>OTROS BONOS IMPONIBLES</t>
  </si>
  <si>
    <t>TOPE GRATIFICACION</t>
  </si>
  <si>
    <t>GRATIFICACION LEGAL</t>
  </si>
  <si>
    <t>MENSUAL</t>
  </si>
  <si>
    <t>TIPO GRATIFICACION</t>
  </si>
  <si>
    <t>GRATIFICACION CALCULADA</t>
  </si>
  <si>
    <t>TOTAL HABERES IMPONIBLES</t>
  </si>
  <si>
    <t>TOPE IMPONIBLE AFP</t>
  </si>
  <si>
    <t>TOPE IMPONIBLE AFC</t>
  </si>
  <si>
    <t>COTIZACIONES SOBRE TOPE</t>
  </si>
  <si>
    <t>MOVILIZACION</t>
  </si>
  <si>
    <t>ESTIMACION RENTA SOBRE TOPE</t>
  </si>
  <si>
    <t>OTROS HABERES NO IMPONIBLES</t>
  </si>
  <si>
    <t>OPCION RENTA SOBRE TOPE</t>
  </si>
  <si>
    <t>HABERES NO IMPONIBLES</t>
  </si>
  <si>
    <t>TOTAL HABERES NO IMPONIBLES</t>
  </si>
  <si>
    <t>HABERES IMPONIBLES</t>
  </si>
  <si>
    <t>TABLA DE IMPUESTO UNICO A LOS TRABAJADORES SUELDO LIQUIDO A BRUTO</t>
  </si>
  <si>
    <t>SUBTOTAL</t>
  </si>
  <si>
    <t>RENTA</t>
  </si>
  <si>
    <t>IMPTO</t>
  </si>
  <si>
    <t>TOTAL TRIBUTABLE</t>
  </si>
  <si>
    <t>INCREMENTO COTIZACIONES</t>
  </si>
  <si>
    <t>AFP CAPITAL</t>
  </si>
  <si>
    <t>COTIZACION LEGAL</t>
  </si>
  <si>
    <t>SUB TOTAL IMPONIBLE</t>
  </si>
  <si>
    <t>FONASA</t>
  </si>
  <si>
    <t>PLAN DE ISAPRE X UF</t>
  </si>
  <si>
    <t>RENTA x FACTOR</t>
  </si>
  <si>
    <t>DESDE</t>
  </si>
  <si>
    <t>FACTOR</t>
  </si>
  <si>
    <t>CANTIDAD A REBAJAR</t>
  </si>
  <si>
    <t>CALCULO</t>
  </si>
  <si>
    <t>AFC TRABAJADOR</t>
  </si>
  <si>
    <t>PLAZO FIJO</t>
  </si>
  <si>
    <t>VALOR SALUD</t>
  </si>
  <si>
    <t>ADICIONAL ISAPRE E IMPTO. UNICO   CARGO EMPRESA                  CARGO TRABAJADOR</t>
  </si>
  <si>
    <t>GRATIFICACION</t>
  </si>
  <si>
    <t>VALOR EN UF PLAN ISAPRE</t>
  </si>
  <si>
    <t>ADICIONAL ISAPRE</t>
  </si>
  <si>
    <t>IMPUESTO UNICO TRABAJADOR</t>
  </si>
  <si>
    <t>SUELDO TRIBUTABLE</t>
  </si>
  <si>
    <t>TOTAL DESCUENTOS LEGALES</t>
  </si>
  <si>
    <t>DIFERENCIA CON TOPE IMPONIBLE</t>
  </si>
  <si>
    <t>DEVOLUCION NO IMPONIBLE POR ADICIONAL ISAPRE E IMPTO UNICO</t>
  </si>
  <si>
    <t>SUELDO LIQUIDO</t>
  </si>
  <si>
    <t>IMPUESTO UNICO TRABAJADORES</t>
  </si>
  <si>
    <t>SUELDO LIQUIDO FINAL</t>
  </si>
  <si>
    <t>%</t>
  </si>
  <si>
    <t>DECIMAL</t>
  </si>
  <si>
    <t>CONCEPTO</t>
  </si>
  <si>
    <t>VALORES %</t>
  </si>
  <si>
    <t>VALORES DECIMALES</t>
  </si>
  <si>
    <t>VALOR UF</t>
  </si>
  <si>
    <t>AFP</t>
  </si>
  <si>
    <t>COTIZACION</t>
  </si>
  <si>
    <t>SIS</t>
  </si>
  <si>
    <t>TOTAL</t>
  </si>
  <si>
    <t>VALOR UTM</t>
  </si>
  <si>
    <t>SUELDO MINIMO</t>
  </si>
  <si>
    <t>AFP CUPRUM</t>
  </si>
  <si>
    <t>AFP HABITAT</t>
  </si>
  <si>
    <t>TOPE IMPONIBLE SEG.CES.</t>
  </si>
  <si>
    <t>AFP PLANVITAL</t>
  </si>
  <si>
    <t>AFP PROVIDA</t>
  </si>
  <si>
    <t>AFP MODELO</t>
  </si>
  <si>
    <t>AFC EMPRESA</t>
  </si>
  <si>
    <t>AFP UNO</t>
  </si>
  <si>
    <t>SIN AFP</t>
  </si>
  <si>
    <t>SALUD FONASA</t>
  </si>
  <si>
    <t>INDEFINIDO</t>
  </si>
  <si>
    <t>SI</t>
  </si>
  <si>
    <t>NO</t>
  </si>
  <si>
    <t>ANUAL</t>
  </si>
  <si>
    <t>ISAPRE BANMEDICA</t>
  </si>
  <si>
    <t>ISAPRE CRUZ BLANCA</t>
  </si>
  <si>
    <t>ISAPRE NUEVA MAS VIDA</t>
  </si>
  <si>
    <t>ISAPRE COLMENA</t>
  </si>
  <si>
    <t>ISAPRE CONSALUD</t>
  </si>
  <si>
    <t>ISAPRE VIDA TRES</t>
  </si>
  <si>
    <t xml:space="preserve">CALCULO SUELDO BRUTO A LIQUIDO </t>
  </si>
  <si>
    <t xml:space="preserve">PARAMETROS </t>
  </si>
  <si>
    <t>LLENAR  CELDAS VERDES</t>
  </si>
  <si>
    <t>DEL SUELDO LIQUIDO LLEGARA AL SUELDO BASE</t>
  </si>
  <si>
    <t>CALCULO SUELDO LIQUIDO A BRUTO</t>
  </si>
  <si>
    <t>DEL SUELDO BRUTO LLEGARA AL SUELDO LIQUIDO</t>
  </si>
  <si>
    <t>DEVOLUCION NO IMPONIBLE POR ADICIONAL ISAPRE E IMPTO UNICO Y AFC</t>
  </si>
  <si>
    <t>AFC COSTO TRABAJADOR</t>
  </si>
  <si>
    <t>((F22+F23)/100)*J12</t>
  </si>
  <si>
    <t>DIFERENCIA</t>
  </si>
  <si>
    <t>AFC COSTO EMPRESA</t>
  </si>
  <si>
    <t xml:space="preserve">SEGURO </t>
  </si>
  <si>
    <t>SALUD</t>
  </si>
  <si>
    <t xml:space="preserve"> IMPOSICIONES </t>
  </si>
  <si>
    <t>AFC</t>
  </si>
  <si>
    <t>IMPUESTO UNICO</t>
  </si>
  <si>
    <t xml:space="preserve"> CARGO EMPLEADOR</t>
  </si>
  <si>
    <t>TOTAL IMPOSICIONES</t>
  </si>
  <si>
    <t>SEGURO</t>
  </si>
  <si>
    <t>TOTAL EMPLEADOR</t>
  </si>
  <si>
    <t xml:space="preserve">COSTO TOTAL X TRABAJADOR </t>
  </si>
  <si>
    <t xml:space="preserve">Costos sueldos empresa </t>
  </si>
  <si>
    <t xml:space="preserve">Patron de embarcacion </t>
  </si>
  <si>
    <t xml:space="preserve">Sueldo liquido </t>
  </si>
  <si>
    <t>Imposiciones</t>
  </si>
  <si>
    <t>costo total</t>
  </si>
  <si>
    <t>Motorista</t>
  </si>
  <si>
    <t>Tripulante</t>
  </si>
  <si>
    <t>Supervisor</t>
  </si>
  <si>
    <t>Administrador</t>
  </si>
  <si>
    <t>Operario 1</t>
  </si>
  <si>
    <t>Operario 2</t>
  </si>
  <si>
    <t>Operario 3</t>
  </si>
  <si>
    <t>Total</t>
  </si>
  <si>
    <t>Costos sueldos empresa con sueldo minimo</t>
  </si>
  <si>
    <t>Diferencia</t>
  </si>
  <si>
    <t>Embarcacion</t>
  </si>
  <si>
    <t>Diesel</t>
  </si>
  <si>
    <t>Viveres</t>
  </si>
  <si>
    <t>Implementos seguridad</t>
  </si>
  <si>
    <t>Traslado</t>
  </si>
  <si>
    <t>Costos operativos</t>
  </si>
  <si>
    <t xml:space="preserve">Gastos Varios </t>
  </si>
  <si>
    <t>Prevencionista</t>
  </si>
  <si>
    <t>Contabilidad</t>
  </si>
  <si>
    <t xml:space="preserve">Varios </t>
  </si>
  <si>
    <t xml:space="preserve">Costos Sueldos </t>
  </si>
  <si>
    <t>Gastos Varios</t>
  </si>
  <si>
    <t xml:space="preserve">Total </t>
  </si>
  <si>
    <t>Imprevistos 3%</t>
  </si>
  <si>
    <t>Total operacional</t>
  </si>
  <si>
    <t>(sueldos + Imposiciones)</t>
  </si>
  <si>
    <t>(Embarcación + Diesel+ viveres + traslado+ implementos de seguridad)</t>
  </si>
  <si>
    <t>Margen Utilidad 20%</t>
  </si>
  <si>
    <t xml:space="preserve">COSTO TOTAL IMPOSICIONES </t>
  </si>
  <si>
    <t>REFORMA</t>
  </si>
  <si>
    <t>1% REFORMA</t>
  </si>
  <si>
    <t>TRABAJADOR</t>
  </si>
  <si>
    <t>EMPLEADOR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</si>
</sst>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#,##0;\(#,##0\)"/>
    <numFmt numFmtId="166" formatCode="_-* #,##0.00\ _€_-;\-* #,##0.00\ _€_-;_-* &quot;-&quot;??\ _€_-;_-@_-"/>
    <numFmt numFmtId="167" formatCode="_-* #,##0\ _€_-;\-* #,##0\ _€_-;_-* &quot;-&quot;??\ _€_-;_-@_-"/>
    <numFmt numFmtId="168" formatCode="_-* #,##0\ _€_-;\-* #,##0\ _€_-;_-* &quot;-&quot;???\ _€_-;_-@_-"/>
    <numFmt numFmtId="169" formatCode="#,##0.00\ \ "/>
    <numFmt numFmtId="170" formatCode="#,##0.000\ \ "/>
    <numFmt numFmtId="171" formatCode="_-* #,##0.000\ _€_-;\-* #,##0.000\ _€_-;_-* &quot;-&quot;??\ _€_-;_-@_-"/>
    <numFmt numFmtId="172" formatCode="_-* #,##0.0\ _€_-;\-* #,##0.0\ _€_-;_-* &quot;-&quot;??\ _€_-;_-@_-"/>
    <numFmt numFmtId="173" formatCode="[$-F800]dddd\,\ mmmm\ dd\,\ yyyy"/>
    <numFmt numFmtId="174" formatCode="ddd"/>
    <numFmt numFmtId="175" formatCode="&quot;$&quot;#,##0"/>
    <numFmt numFmtId="176" formatCode="#,##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MS Sans Serif"/>
    </font>
    <font>
      <b/>
      <i/>
      <sz val="10"/>
      <name val="Arial"/>
      <family val="2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8"/>
      <name val="Arial"/>
      <family val="2"/>
    </font>
    <font>
      <i/>
      <sz val="9"/>
      <name val="Arial"/>
      <family val="2"/>
    </font>
    <font>
      <sz val="11"/>
      <color rgb="FF555555"/>
      <name val="Arial"/>
      <family val="2"/>
    </font>
    <font>
      <b/>
      <sz val="11"/>
      <color rgb="FF555555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545454"/>
      <name val="Trebuchet MS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7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3" fillId="0" borderId="22" xfId="0" applyFont="1" applyBorder="1" applyAlignment="1">
      <alignment horizontal="right"/>
    </xf>
    <xf numFmtId="0" fontId="3" fillId="2" borderId="9" xfId="0" applyFont="1" applyFill="1" applyBorder="1" applyAlignment="1">
      <alignment horizontal="center"/>
    </xf>
    <xf numFmtId="167" fontId="3" fillId="0" borderId="23" xfId="1" applyNumberFormat="1" applyFont="1" applyBorder="1"/>
    <xf numFmtId="0" fontId="3" fillId="2" borderId="10" xfId="0" applyFont="1" applyFill="1" applyBorder="1" applyAlignment="1">
      <alignment horizontal="center"/>
    </xf>
    <xf numFmtId="166" fontId="3" fillId="0" borderId="23" xfId="1" applyFont="1" applyBorder="1"/>
    <xf numFmtId="0" fontId="0" fillId="0" borderId="24" xfId="0" applyBorder="1"/>
    <xf numFmtId="168" fontId="0" fillId="2" borderId="0" xfId="0" applyNumberFormat="1" applyFill="1"/>
    <xf numFmtId="0" fontId="4" fillId="2" borderId="5" xfId="0" applyFont="1" applyFill="1" applyBorder="1"/>
    <xf numFmtId="0" fontId="0" fillId="2" borderId="7" xfId="0" applyFill="1" applyBorder="1"/>
    <xf numFmtId="165" fontId="0" fillId="0" borderId="0" xfId="0" applyNumberFormat="1" applyAlignment="1">
      <alignment horizontal="center" vertical="center"/>
    </xf>
    <xf numFmtId="41" fontId="0" fillId="0" borderId="0" xfId="2" applyFont="1"/>
    <xf numFmtId="167" fontId="0" fillId="2" borderId="25" xfId="1" applyNumberFormat="1" applyFont="1" applyFill="1" applyBorder="1" applyAlignment="1">
      <alignment horizontal="center" vertical="center"/>
    </xf>
    <xf numFmtId="41" fontId="2" fillId="3" borderId="24" xfId="2" applyFont="1" applyFill="1" applyBorder="1" applyProtection="1">
      <protection locked="0"/>
    </xf>
    <xf numFmtId="167" fontId="0" fillId="2" borderId="26" xfId="1" applyNumberFormat="1" applyFont="1" applyFill="1" applyBorder="1" applyAlignment="1">
      <alignment horizontal="center" vertical="center"/>
    </xf>
    <xf numFmtId="0" fontId="0" fillId="2" borderId="21" xfId="0" applyFill="1" applyBorder="1"/>
    <xf numFmtId="0" fontId="0" fillId="0" borderId="14" xfId="0" applyBorder="1"/>
    <xf numFmtId="166" fontId="0" fillId="0" borderId="14" xfId="1" applyFont="1" applyBorder="1" applyAlignment="1">
      <alignment horizontal="center" vertical="top"/>
    </xf>
    <xf numFmtId="41" fontId="0" fillId="0" borderId="14" xfId="2" applyFont="1" applyBorder="1" applyAlignment="1" applyProtection="1">
      <alignment horizontal="right"/>
      <protection hidden="1"/>
    </xf>
    <xf numFmtId="41" fontId="0" fillId="2" borderId="0" xfId="0" applyNumberFormat="1" applyFill="1"/>
    <xf numFmtId="9" fontId="0" fillId="2" borderId="26" xfId="0" applyNumberFormat="1" applyFill="1" applyBorder="1" applyAlignment="1">
      <alignment horizontal="center" vertical="center"/>
    </xf>
    <xf numFmtId="167" fontId="0" fillId="2" borderId="0" xfId="1" applyNumberFormat="1" applyFont="1" applyFill="1"/>
    <xf numFmtId="0" fontId="2" fillId="2" borderId="0" xfId="0" applyFont="1" applyFill="1"/>
    <xf numFmtId="0" fontId="2" fillId="0" borderId="16" xfId="0" applyFont="1" applyBorder="1"/>
    <xf numFmtId="41" fontId="2" fillId="0" borderId="16" xfId="2" applyFont="1" applyBorder="1" applyProtection="1">
      <protection hidden="1"/>
    </xf>
    <xf numFmtId="165" fontId="0" fillId="2" borderId="0" xfId="0" applyNumberFormat="1" applyFill="1"/>
    <xf numFmtId="0" fontId="2" fillId="0" borderId="0" xfId="0" applyFont="1"/>
    <xf numFmtId="41" fontId="2" fillId="0" borderId="0" xfId="2" applyFont="1"/>
    <xf numFmtId="0" fontId="2" fillId="0" borderId="24" xfId="0" applyFont="1" applyBorder="1"/>
    <xf numFmtId="0" fontId="2" fillId="0" borderId="14" xfId="0" applyFont="1" applyBorder="1"/>
    <xf numFmtId="167" fontId="0" fillId="2" borderId="26" xfId="0" applyNumberFormat="1" applyFill="1" applyBorder="1" applyAlignment="1">
      <alignment horizontal="center" vertical="center"/>
    </xf>
    <xf numFmtId="0" fontId="2" fillId="3" borderId="14" xfId="0" applyFont="1" applyFill="1" applyBorder="1"/>
    <xf numFmtId="0" fontId="2" fillId="0" borderId="4" xfId="0" applyFont="1" applyBorder="1"/>
    <xf numFmtId="167" fontId="0" fillId="2" borderId="26" xfId="1" applyNumberFormat="1" applyFont="1" applyFill="1" applyBorder="1"/>
    <xf numFmtId="167" fontId="0" fillId="2" borderId="21" xfId="1" applyNumberFormat="1" applyFont="1" applyFill="1" applyBorder="1"/>
    <xf numFmtId="41" fontId="2" fillId="0" borderId="16" xfId="2" applyFont="1" applyBorder="1"/>
    <xf numFmtId="0" fontId="6" fillId="2" borderId="0" xfId="4" applyFont="1" applyFill="1" applyProtection="1">
      <protection hidden="1"/>
    </xf>
    <xf numFmtId="0" fontId="6" fillId="2" borderId="0" xfId="4" applyFont="1" applyFill="1" applyAlignment="1" applyProtection="1">
      <alignment horizontal="center"/>
      <protection hidden="1"/>
    </xf>
    <xf numFmtId="0" fontId="5" fillId="2" borderId="0" xfId="4" applyFill="1" applyProtection="1">
      <protection hidden="1"/>
    </xf>
    <xf numFmtId="167" fontId="0" fillId="2" borderId="0" xfId="0" applyNumberFormat="1" applyFill="1"/>
    <xf numFmtId="167" fontId="0" fillId="2" borderId="26" xfId="0" applyNumberFormat="1" applyFill="1" applyBorder="1"/>
    <xf numFmtId="0" fontId="7" fillId="4" borderId="12" xfId="4" applyFont="1" applyFill="1" applyBorder="1" applyAlignment="1" applyProtection="1">
      <alignment horizontal="center"/>
      <protection hidden="1"/>
    </xf>
    <xf numFmtId="0" fontId="7" fillId="4" borderId="13" xfId="4" applyFont="1" applyFill="1" applyBorder="1" applyAlignment="1" applyProtection="1">
      <alignment horizontal="center"/>
      <protection hidden="1"/>
    </xf>
    <xf numFmtId="0" fontId="7" fillId="4" borderId="19" xfId="4" applyFont="1" applyFill="1" applyBorder="1" applyAlignment="1" applyProtection="1">
      <alignment horizontal="center"/>
      <protection hidden="1"/>
    </xf>
    <xf numFmtId="165" fontId="0" fillId="0" borderId="24" xfId="0" applyNumberFormat="1" applyBorder="1" applyProtection="1">
      <protection hidden="1"/>
    </xf>
    <xf numFmtId="166" fontId="0" fillId="2" borderId="26" xfId="3" applyNumberFormat="1" applyFont="1" applyFill="1" applyBorder="1"/>
    <xf numFmtId="3" fontId="8" fillId="5" borderId="22" xfId="4" applyNumberFormat="1" applyFont="1" applyFill="1" applyBorder="1" applyAlignment="1" applyProtection="1">
      <alignment horizontal="center"/>
      <protection hidden="1"/>
    </xf>
    <xf numFmtId="3" fontId="8" fillId="5" borderId="27" xfId="4" applyNumberFormat="1" applyFont="1" applyFill="1" applyBorder="1" applyAlignment="1" applyProtection="1">
      <alignment horizontal="center"/>
      <protection hidden="1"/>
    </xf>
    <xf numFmtId="166" fontId="0" fillId="0" borderId="0" xfId="1" applyFont="1"/>
    <xf numFmtId="165" fontId="0" fillId="0" borderId="0" xfId="2" applyNumberFormat="1" applyFont="1" applyProtection="1">
      <protection hidden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9" fillId="4" borderId="12" xfId="4" applyFont="1" applyFill="1" applyBorder="1" applyAlignment="1" applyProtection="1">
      <alignment horizontal="center"/>
      <protection hidden="1"/>
    </xf>
    <xf numFmtId="0" fontId="9" fillId="4" borderId="18" xfId="4" applyFont="1" applyFill="1" applyBorder="1" applyAlignment="1" applyProtection="1">
      <alignment horizontal="center"/>
      <protection hidden="1"/>
    </xf>
    <xf numFmtId="0" fontId="9" fillId="4" borderId="19" xfId="4" applyFont="1" applyFill="1" applyBorder="1" applyAlignment="1" applyProtection="1">
      <alignment horizontal="center"/>
      <protection hidden="1"/>
    </xf>
    <xf numFmtId="166" fontId="0" fillId="0" borderId="0" xfId="1" applyFont="1" applyAlignment="1">
      <alignment horizontal="right"/>
    </xf>
    <xf numFmtId="4" fontId="8" fillId="5" borderId="28" xfId="4" applyNumberFormat="1" applyFont="1" applyFill="1" applyBorder="1" applyProtection="1">
      <protection hidden="1"/>
    </xf>
    <xf numFmtId="169" fontId="10" fillId="5" borderId="29" xfId="4" applyNumberFormat="1" applyFont="1" applyFill="1" applyBorder="1" applyProtection="1">
      <protection hidden="1"/>
    </xf>
    <xf numFmtId="169" fontId="10" fillId="5" borderId="30" xfId="4" applyNumberFormat="1" applyFont="1" applyFill="1" applyBorder="1" applyProtection="1">
      <protection hidden="1"/>
    </xf>
    <xf numFmtId="169" fontId="10" fillId="5" borderId="31" xfId="4" applyNumberFormat="1" applyFont="1" applyFill="1" applyBorder="1" applyProtection="1">
      <protection hidden="1"/>
    </xf>
    <xf numFmtId="3" fontId="8" fillId="5" borderId="32" xfId="4" applyNumberFormat="1" applyFont="1" applyFill="1" applyBorder="1" applyAlignment="1" applyProtection="1">
      <alignment horizontal="right"/>
      <protection hidden="1"/>
    </xf>
    <xf numFmtId="4" fontId="8" fillId="5" borderId="33" xfId="4" applyNumberFormat="1" applyFont="1" applyFill="1" applyBorder="1" applyProtection="1">
      <protection hidden="1"/>
    </xf>
    <xf numFmtId="169" fontId="10" fillId="5" borderId="34" xfId="4" applyNumberFormat="1" applyFont="1" applyFill="1" applyBorder="1" applyProtection="1">
      <protection hidden="1"/>
    </xf>
    <xf numFmtId="169" fontId="10" fillId="5" borderId="35" xfId="4" applyNumberFormat="1" applyFont="1" applyFill="1" applyBorder="1" applyProtection="1">
      <protection hidden="1"/>
    </xf>
    <xf numFmtId="169" fontId="10" fillId="5" borderId="36" xfId="4" applyNumberFormat="1" applyFont="1" applyFill="1" applyBorder="1" applyProtection="1">
      <protection hidden="1"/>
    </xf>
    <xf numFmtId="3" fontId="8" fillId="5" borderId="37" xfId="4" applyNumberFormat="1" applyFont="1" applyFill="1" applyBorder="1" applyAlignment="1" applyProtection="1">
      <alignment horizontal="right"/>
      <protection hidden="1"/>
    </xf>
    <xf numFmtId="0" fontId="0" fillId="0" borderId="0" xfId="0" applyAlignment="1">
      <alignment horizontal="right"/>
    </xf>
    <xf numFmtId="165" fontId="0" fillId="0" borderId="0" xfId="5" applyNumberFormat="1" applyFont="1" applyAlignment="1" applyProtection="1">
      <alignment horizontal="right"/>
      <protection hidden="1"/>
    </xf>
    <xf numFmtId="167" fontId="0" fillId="2" borderId="38" xfId="0" applyNumberFormat="1" applyFill="1" applyBorder="1"/>
    <xf numFmtId="167" fontId="0" fillId="2" borderId="11" xfId="1" applyNumberFormat="1" applyFont="1" applyFill="1" applyBorder="1"/>
    <xf numFmtId="167" fontId="0" fillId="2" borderId="5" xfId="1" applyNumberFormat="1" applyFont="1" applyFill="1" applyBorder="1"/>
    <xf numFmtId="167" fontId="0" fillId="2" borderId="25" xfId="1" applyNumberFormat="1" applyFont="1" applyFill="1" applyBorder="1"/>
    <xf numFmtId="170" fontId="10" fillId="5" borderId="35" xfId="4" applyNumberFormat="1" applyFont="1" applyFill="1" applyBorder="1" applyProtection="1">
      <protection hidden="1"/>
    </xf>
    <xf numFmtId="165" fontId="2" fillId="0" borderId="16" xfId="2" applyNumberFormat="1" applyFont="1" applyBorder="1" applyProtection="1">
      <protection hidden="1"/>
    </xf>
    <xf numFmtId="167" fontId="0" fillId="2" borderId="9" xfId="1" applyNumberFormat="1" applyFont="1" applyFill="1" applyBorder="1"/>
    <xf numFmtId="167" fontId="0" fillId="2" borderId="38" xfId="1" applyNumberFormat="1" applyFont="1" applyFill="1" applyBorder="1"/>
    <xf numFmtId="165" fontId="0" fillId="2" borderId="25" xfId="2" applyNumberFormat="1" applyFont="1" applyFill="1" applyBorder="1"/>
    <xf numFmtId="171" fontId="0" fillId="0" borderId="8" xfId="1" applyNumberFormat="1" applyFont="1" applyBorder="1"/>
    <xf numFmtId="165" fontId="0" fillId="2" borderId="38" xfId="2" applyNumberFormat="1" applyFont="1" applyFill="1" applyBorder="1"/>
    <xf numFmtId="0" fontId="0" fillId="2" borderId="38" xfId="0" applyFill="1" applyBorder="1"/>
    <xf numFmtId="165" fontId="0" fillId="0" borderId="0" xfId="2" applyNumberFormat="1" applyFont="1"/>
    <xf numFmtId="4" fontId="8" fillId="5" borderId="39" xfId="4" applyNumberFormat="1" applyFont="1" applyFill="1" applyBorder="1" applyProtection="1">
      <protection hidden="1"/>
    </xf>
    <xf numFmtId="169" fontId="10" fillId="5" borderId="40" xfId="4" applyNumberFormat="1" applyFont="1" applyFill="1" applyBorder="1" applyProtection="1">
      <protection hidden="1"/>
    </xf>
    <xf numFmtId="4" fontId="10" fillId="5" borderId="10" xfId="4" applyNumberFormat="1" applyFont="1" applyFill="1" applyBorder="1" applyProtection="1">
      <protection hidden="1"/>
    </xf>
    <xf numFmtId="169" fontId="10" fillId="5" borderId="41" xfId="4" applyNumberFormat="1" applyFont="1" applyFill="1" applyBorder="1" applyProtection="1">
      <protection hidden="1"/>
    </xf>
    <xf numFmtId="3" fontId="8" fillId="5" borderId="42" xfId="4" applyNumberFormat="1" applyFont="1" applyFill="1" applyBorder="1" applyAlignment="1" applyProtection="1">
      <alignment horizontal="right"/>
      <protection hidden="1"/>
    </xf>
    <xf numFmtId="165" fontId="2" fillId="0" borderId="16" xfId="2" applyNumberFormat="1" applyFont="1" applyBorder="1"/>
    <xf numFmtId="166" fontId="0" fillId="2" borderId="0" xfId="1" applyFont="1" applyFill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0" xfId="0" applyFont="1" applyFill="1" applyBorder="1"/>
    <xf numFmtId="172" fontId="0" fillId="0" borderId="0" xfId="0" applyNumberFormat="1"/>
    <xf numFmtId="0" fontId="0" fillId="0" borderId="20" xfId="0" applyBorder="1" applyAlignment="1">
      <alignment horizontal="center"/>
    </xf>
    <xf numFmtId="0" fontId="0" fillId="2" borderId="20" xfId="0" applyFill="1" applyBorder="1"/>
    <xf numFmtId="0" fontId="11" fillId="6" borderId="20" xfId="0" applyFont="1" applyFill="1" applyBorder="1" applyAlignment="1">
      <alignment vertical="center" wrapText="1"/>
    </xf>
    <xf numFmtId="0" fontId="11" fillId="7" borderId="20" xfId="0" applyFont="1" applyFill="1" applyBorder="1" applyAlignment="1">
      <alignment vertical="center" wrapText="1"/>
    </xf>
    <xf numFmtId="9" fontId="0" fillId="0" borderId="20" xfId="0" applyNumberForma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167" fontId="0" fillId="0" borderId="20" xfId="1" applyNumberFormat="1" applyFont="1" applyBorder="1"/>
    <xf numFmtId="173" fontId="0" fillId="0" borderId="0" xfId="0" applyNumberFormat="1"/>
    <xf numFmtId="174" fontId="0" fillId="0" borderId="0" xfId="0" applyNumberFormat="1"/>
    <xf numFmtId="9" fontId="0" fillId="0" borderId="0" xfId="0" applyNumberFormat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166" fontId="0" fillId="3" borderId="20" xfId="1" applyFont="1" applyFill="1" applyBorder="1" applyProtection="1">
      <protection locked="0"/>
    </xf>
    <xf numFmtId="167" fontId="0" fillId="3" borderId="20" xfId="1" applyNumberFormat="1" applyFont="1" applyFill="1" applyBorder="1" applyProtection="1">
      <protection locked="0"/>
    </xf>
    <xf numFmtId="10" fontId="12" fillId="3" borderId="20" xfId="0" applyNumberFormat="1" applyFont="1" applyFill="1" applyBorder="1" applyAlignment="1" applyProtection="1">
      <alignment horizontal="center" vertical="center" wrapText="1"/>
      <protection locked="0"/>
    </xf>
    <xf numFmtId="0" fontId="0" fillId="3" borderId="20" xfId="0" applyFill="1" applyBorder="1" applyProtection="1">
      <protection locked="0"/>
    </xf>
    <xf numFmtId="0" fontId="0" fillId="0" borderId="20" xfId="0" applyBorder="1" applyProtection="1">
      <protection locked="0"/>
    </xf>
    <xf numFmtId="9" fontId="0" fillId="3" borderId="14" xfId="0" applyNumberFormat="1" applyFill="1" applyBorder="1" applyAlignment="1" applyProtection="1">
      <alignment horizontal="center" vertical="center"/>
      <protection locked="0"/>
    </xf>
    <xf numFmtId="0" fontId="0" fillId="3" borderId="14" xfId="0" applyFill="1" applyBorder="1" applyProtection="1">
      <protection locked="0"/>
    </xf>
    <xf numFmtId="41" fontId="2" fillId="3" borderId="14" xfId="2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167" fontId="3" fillId="8" borderId="23" xfId="1" applyNumberFormat="1" applyFont="1" applyFill="1" applyBorder="1"/>
    <xf numFmtId="166" fontId="3" fillId="8" borderId="23" xfId="1" applyFont="1" applyFill="1" applyBorder="1"/>
    <xf numFmtId="165" fontId="0" fillId="0" borderId="0" xfId="0" applyNumberFormat="1"/>
    <xf numFmtId="9" fontId="0" fillId="3" borderId="14" xfId="0" applyNumberFormat="1" applyFill="1" applyBorder="1" applyAlignment="1">
      <alignment horizontal="center" vertical="center"/>
    </xf>
    <xf numFmtId="41" fontId="2" fillId="3" borderId="24" xfId="2" applyFont="1" applyFill="1" applyBorder="1"/>
    <xf numFmtId="41" fontId="2" fillId="3" borderId="14" xfId="2" applyFont="1" applyFill="1" applyBorder="1"/>
    <xf numFmtId="0" fontId="0" fillId="3" borderId="0" xfId="0" applyFill="1"/>
    <xf numFmtId="0" fontId="13" fillId="0" borderId="0" xfId="0" applyFont="1"/>
    <xf numFmtId="41" fontId="2" fillId="0" borderId="24" xfId="2" applyFont="1" applyBorder="1" applyProtection="1">
      <protection hidden="1"/>
    </xf>
    <xf numFmtId="41" fontId="2" fillId="0" borderId="14" xfId="2" applyFont="1" applyBorder="1" applyAlignment="1" applyProtection="1">
      <alignment horizontal="right"/>
      <protection hidden="1"/>
    </xf>
    <xf numFmtId="41" fontId="2" fillId="3" borderId="24" xfId="2" applyFont="1" applyFill="1" applyBorder="1" applyProtection="1">
      <protection hidden="1"/>
    </xf>
    <xf numFmtId="0" fontId="0" fillId="9" borderId="21" xfId="0" applyFill="1" applyBorder="1"/>
    <xf numFmtId="167" fontId="0" fillId="9" borderId="21" xfId="1" applyNumberFormat="1" applyFont="1" applyFill="1" applyBorder="1"/>
    <xf numFmtId="167" fontId="0" fillId="0" borderId="0" xfId="1" applyNumberFormat="1" applyFont="1"/>
    <xf numFmtId="165" fontId="0" fillId="2" borderId="38" xfId="0" applyNumberFormat="1" applyFill="1" applyBorder="1"/>
    <xf numFmtId="0" fontId="0" fillId="10" borderId="20" xfId="0" applyFill="1" applyBorder="1"/>
    <xf numFmtId="42" fontId="0" fillId="10" borderId="20" xfId="6" applyFont="1" applyFill="1" applyBorder="1"/>
    <xf numFmtId="1" fontId="0" fillId="0" borderId="20" xfId="0" applyNumberFormat="1" applyBorder="1"/>
    <xf numFmtId="175" fontId="0" fillId="0" borderId="20" xfId="0" applyNumberFormat="1" applyBorder="1" applyAlignment="1">
      <alignment horizontal="center"/>
    </xf>
    <xf numFmtId="175" fontId="0" fillId="0" borderId="20" xfId="0" applyNumberFormat="1" applyFont="1" applyBorder="1" applyAlignment="1">
      <alignment horizontal="center"/>
    </xf>
    <xf numFmtId="175" fontId="0" fillId="0" borderId="20" xfId="0" applyNumberFormat="1" applyBorder="1"/>
    <xf numFmtId="175" fontId="2" fillId="9" borderId="20" xfId="0" applyNumberFormat="1" applyFont="1" applyFill="1" applyBorder="1" applyAlignment="1">
      <alignment horizontal="center"/>
    </xf>
    <xf numFmtId="175" fontId="2" fillId="9" borderId="0" xfId="0" applyNumberFormat="1" applyFont="1" applyFill="1"/>
    <xf numFmtId="0" fontId="0" fillId="0" borderId="20" xfId="0" applyFill="1" applyBorder="1" applyAlignment="1">
      <alignment horizontal="center"/>
    </xf>
    <xf numFmtId="175" fontId="2" fillId="9" borderId="20" xfId="0" applyNumberFormat="1" applyFont="1" applyFill="1" applyBorder="1"/>
    <xf numFmtId="3" fontId="0" fillId="0" borderId="20" xfId="0" applyNumberFormat="1" applyBorder="1"/>
    <xf numFmtId="3" fontId="2" fillId="9" borderId="20" xfId="0" applyNumberFormat="1" applyFont="1" applyFill="1" applyBorder="1"/>
    <xf numFmtId="42" fontId="0" fillId="0" borderId="0" xfId="6" applyFont="1"/>
    <xf numFmtId="0" fontId="2" fillId="9" borderId="0" xfId="0" applyFont="1" applyFill="1"/>
    <xf numFmtId="42" fontId="2" fillId="9" borderId="0" xfId="6" applyFont="1" applyFill="1"/>
    <xf numFmtId="42" fontId="2" fillId="9" borderId="0" xfId="0" applyNumberFormat="1" applyFont="1" applyFill="1"/>
    <xf numFmtId="42" fontId="0" fillId="0" borderId="20" xfId="6" applyFont="1" applyBorder="1"/>
    <xf numFmtId="176" fontId="16" fillId="0" borderId="0" xfId="0" applyNumberFormat="1" applyFont="1"/>
    <xf numFmtId="176" fontId="0" fillId="3" borderId="0" xfId="0" applyNumberFormat="1" applyFill="1" applyAlignment="1">
      <alignment horizontal="center"/>
    </xf>
    <xf numFmtId="0" fontId="0" fillId="10" borderId="49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50" xfId="0" applyFill="1" applyBorder="1" applyAlignment="1">
      <alignment horizontal="center"/>
    </xf>
    <xf numFmtId="165" fontId="3" fillId="3" borderId="15" xfId="2" applyNumberFormat="1" applyFont="1" applyFill="1" applyBorder="1" applyAlignment="1" applyProtection="1">
      <alignment horizontal="center"/>
      <protection locked="0"/>
    </xf>
    <xf numFmtId="165" fontId="3" fillId="3" borderId="16" xfId="2" applyNumberFormat="1" applyFont="1" applyFill="1" applyBorder="1" applyAlignment="1" applyProtection="1">
      <alignment horizontal="center"/>
      <protection locked="0"/>
    </xf>
    <xf numFmtId="165" fontId="3" fillId="3" borderId="17" xfId="2" applyNumberFormat="1" applyFont="1" applyFill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0" fillId="0" borderId="0" xfId="0" applyAlignment="1">
      <alignment horizontal="left"/>
    </xf>
    <xf numFmtId="0" fontId="14" fillId="0" borderId="46" xfId="0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47" xfId="0" applyFont="1" applyBorder="1" applyAlignment="1">
      <alignment horizontal="center"/>
    </xf>
    <xf numFmtId="0" fontId="0" fillId="10" borderId="51" xfId="0" applyFill="1" applyBorder="1" applyAlignment="1">
      <alignment horizontal="center"/>
    </xf>
    <xf numFmtId="0" fontId="0" fillId="10" borderId="24" xfId="0" applyFill="1" applyBorder="1" applyAlignment="1">
      <alignment horizontal="center"/>
    </xf>
  </cellXfs>
  <cellStyles count="7">
    <cellStyle name="Millares" xfId="1" builtinId="3"/>
    <cellStyle name="Millares [0]" xfId="2" builtinId="6"/>
    <cellStyle name="Millares 2" xfId="5" xr:uid="{53B39851-2A1D-4FD9-9FBB-146B12818347}"/>
    <cellStyle name="Moneda [0]" xfId="6" builtinId="7"/>
    <cellStyle name="Normal" xfId="0" builtinId="0"/>
    <cellStyle name="Normal 4" xfId="4" xr:uid="{87DC772B-233F-4D13-8BC1-0FF6E6032CDC}"/>
    <cellStyle name="Porcentaje" xfId="3" builtinId="5"/>
  </cellStyles>
  <dxfs count="2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firstButton="1" fmlaLink="$C$35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Radio" firstButton="1" fmlaLink="$C$36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525780</xdr:colOff>
          <xdr:row>23</xdr:row>
          <xdr:rowOff>182880</xdr:rowOff>
        </xdr:from>
        <xdr:to>
          <xdr:col>4</xdr:col>
          <xdr:colOff>830580</xdr:colOff>
          <xdr:row>25</xdr:row>
          <xdr:rowOff>22860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220980</xdr:colOff>
          <xdr:row>23</xdr:row>
          <xdr:rowOff>175260</xdr:rowOff>
        </xdr:from>
        <xdr:to>
          <xdr:col>6</xdr:col>
          <xdr:colOff>525780</xdr:colOff>
          <xdr:row>25</xdr:row>
          <xdr:rowOff>7620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525780</xdr:colOff>
          <xdr:row>24</xdr:row>
          <xdr:rowOff>182880</xdr:rowOff>
        </xdr:from>
        <xdr:to>
          <xdr:col>4</xdr:col>
          <xdr:colOff>830580</xdr:colOff>
          <xdr:row>26</xdr:row>
          <xdr:rowOff>22860</xdr:rowOff>
        </xdr:to>
        <xdr:sp macro="" textlink="">
          <xdr:nvSpPr>
            <xdr:cNvPr id="3073" name="Option 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220980</xdr:colOff>
          <xdr:row>24</xdr:row>
          <xdr:rowOff>175260</xdr:rowOff>
        </xdr:from>
        <xdr:to>
          <xdr:col>6</xdr:col>
          <xdr:colOff>525780</xdr:colOff>
          <xdr:row>26</xdr:row>
          <xdr:rowOff>7620</xdr:rowOff>
        </xdr:to>
        <xdr:sp macro="" textlink="">
          <xdr:nvSpPr>
            <xdr:cNvPr id="3074" name="Option 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6E17-6BB1-41D8-A8AB-49BC5CD99C92}">
  <dimension ref="A1:M654"/>
  <sheetViews>
    <sheetView showGridLines="0" zoomScaleNormal="100" workbookViewId="0">
      <selection activeCell="E52" sqref="E52"/>
    </sheetView>
  </sheetViews>
  <sheetFormatPr baseColWidth="10" defaultColWidth="5.44140625" defaultRowHeight="14.25" customHeight="1" x14ac:dyDescent="0.3"/>
  <cols>
    <col min="1" max="1" width="15.109375" customWidth="1"/>
    <col min="2" max="2" width="33.88671875" style="108" bestFit="1" customWidth="1"/>
    <col min="3" max="3" width="27" style="109" customWidth="1"/>
    <col min="4" max="4" width="8.5546875" style="100" customWidth="1"/>
    <col min="5" max="5" width="26.88671875" customWidth="1"/>
    <col min="6" max="6" width="11.6640625" customWidth="1"/>
    <col min="7" max="7" width="10.88671875" customWidth="1"/>
    <col min="8" max="8" width="26.44140625" customWidth="1"/>
    <col min="9" max="9" width="22.88671875" customWidth="1"/>
    <col min="10" max="10" width="15.44140625" customWidth="1"/>
    <col min="11" max="11" width="9.33203125" customWidth="1"/>
    <col min="12" max="12" width="23" customWidth="1"/>
    <col min="13" max="13" width="12" bestFit="1" customWidth="1"/>
    <col min="14" max="14" width="8.5546875" customWidth="1"/>
    <col min="15" max="15" width="13.6640625" customWidth="1"/>
    <col min="16" max="16" width="27.88671875" customWidth="1"/>
  </cols>
  <sheetData>
    <row r="1" spans="1:9" ht="23.4" x14ac:dyDescent="0.45">
      <c r="A1" s="129" t="s">
        <v>89</v>
      </c>
    </row>
    <row r="2" spans="1:9" ht="14.25" customHeight="1" x14ac:dyDescent="0.3">
      <c r="A2" t="s">
        <v>90</v>
      </c>
    </row>
    <row r="3" spans="1:9" ht="14.25" customHeight="1" x14ac:dyDescent="0.3">
      <c r="A3" s="97" t="s">
        <v>56</v>
      </c>
      <c r="B3" s="98" t="s">
        <v>57</v>
      </c>
      <c r="C3" s="99" t="s">
        <v>58</v>
      </c>
      <c r="F3" s="101" t="s">
        <v>59</v>
      </c>
      <c r="G3" s="101"/>
      <c r="H3" s="101"/>
      <c r="I3" s="98" t="s">
        <v>60</v>
      </c>
    </row>
    <row r="4" spans="1:9" ht="14.25" customHeight="1" x14ac:dyDescent="0.3">
      <c r="A4" s="101"/>
      <c r="B4" s="113">
        <v>40120.199999999997</v>
      </c>
      <c r="C4" s="98" t="s">
        <v>61</v>
      </c>
      <c r="E4" s="102" t="s">
        <v>62</v>
      </c>
      <c r="F4" s="102" t="s">
        <v>63</v>
      </c>
      <c r="G4" s="102" t="s">
        <v>64</v>
      </c>
      <c r="H4" s="102" t="s">
        <v>65</v>
      </c>
      <c r="I4" s="102" t="s">
        <v>63</v>
      </c>
    </row>
    <row r="5" spans="1:9" ht="14.25" customHeight="1" x14ac:dyDescent="0.3">
      <c r="A5" s="101"/>
      <c r="B5" s="113">
        <v>69889</v>
      </c>
      <c r="C5" s="98" t="s">
        <v>66</v>
      </c>
      <c r="E5" s="103" t="s">
        <v>31</v>
      </c>
      <c r="F5" s="114">
        <v>0.1144</v>
      </c>
      <c r="G5" s="114">
        <v>1.6199999999999999E-2</v>
      </c>
      <c r="H5" s="114">
        <f>+F5+G5</f>
        <v>0.13059999999999999</v>
      </c>
      <c r="I5" s="115">
        <v>11.44</v>
      </c>
    </row>
    <row r="6" spans="1:9" ht="14.25" customHeight="1" x14ac:dyDescent="0.3">
      <c r="A6" s="101"/>
      <c r="B6" s="113">
        <v>539000</v>
      </c>
      <c r="C6" s="98" t="s">
        <v>67</v>
      </c>
      <c r="E6" s="104" t="s">
        <v>68</v>
      </c>
      <c r="F6" s="114">
        <v>0.1144</v>
      </c>
      <c r="G6" s="114">
        <v>1.6199999999999999E-2</v>
      </c>
      <c r="H6" s="114">
        <f t="shared" ref="H6:H11" si="0">+F6+G6</f>
        <v>0.13059999999999999</v>
      </c>
      <c r="I6" s="115">
        <v>11.44</v>
      </c>
    </row>
    <row r="7" spans="1:9" ht="14.25" customHeight="1" x14ac:dyDescent="0.3">
      <c r="A7" s="101"/>
      <c r="B7" s="112">
        <v>90</v>
      </c>
      <c r="C7" s="98" t="s">
        <v>15</v>
      </c>
      <c r="E7" s="103" t="s">
        <v>69</v>
      </c>
      <c r="F7" s="114">
        <v>0.11269999999999999</v>
      </c>
      <c r="G7" s="114">
        <v>1.6199999999999999E-2</v>
      </c>
      <c r="H7" s="114">
        <f t="shared" si="0"/>
        <v>0.12889999999999999</v>
      </c>
      <c r="I7" s="115">
        <v>11.27</v>
      </c>
    </row>
    <row r="8" spans="1:9" ht="14.25" customHeight="1" x14ac:dyDescent="0.3">
      <c r="A8" s="101"/>
      <c r="B8" s="112">
        <v>135.19999999999999</v>
      </c>
      <c r="C8" s="98" t="s">
        <v>70</v>
      </c>
      <c r="E8" s="104" t="s">
        <v>71</v>
      </c>
      <c r="F8" s="114">
        <v>0.1116</v>
      </c>
      <c r="G8" s="114">
        <v>1.6199999999999999E-2</v>
      </c>
      <c r="H8" s="114">
        <f t="shared" si="0"/>
        <v>0.1278</v>
      </c>
      <c r="I8" s="115">
        <v>11.16</v>
      </c>
    </row>
    <row r="9" spans="1:9" ht="14.25" customHeight="1" x14ac:dyDescent="0.3">
      <c r="A9" s="105">
        <v>7.0000000000000007E-2</v>
      </c>
      <c r="B9" s="112">
        <v>7</v>
      </c>
      <c r="C9" s="98" t="s">
        <v>34</v>
      </c>
      <c r="E9" s="103" t="s">
        <v>72</v>
      </c>
      <c r="F9" s="114">
        <v>0.1145</v>
      </c>
      <c r="G9" s="114">
        <v>1.6199999999999999E-2</v>
      </c>
      <c r="H9" s="114">
        <f t="shared" si="0"/>
        <v>0.13070000000000001</v>
      </c>
      <c r="I9" s="115">
        <v>11.45</v>
      </c>
    </row>
    <row r="10" spans="1:9" ht="14.25" customHeight="1" x14ac:dyDescent="0.3">
      <c r="A10" s="106">
        <v>6.0000000000000001E-3</v>
      </c>
      <c r="B10" s="112">
        <v>0.6</v>
      </c>
      <c r="C10" s="98" t="s">
        <v>41</v>
      </c>
      <c r="E10" s="104" t="s">
        <v>73</v>
      </c>
      <c r="F10" s="114">
        <v>0.10580000000000001</v>
      </c>
      <c r="G10" s="114">
        <v>1.6199999999999999E-2</v>
      </c>
      <c r="H10" s="114">
        <f t="shared" si="0"/>
        <v>0.122</v>
      </c>
      <c r="I10" s="115">
        <v>10.58</v>
      </c>
    </row>
    <row r="11" spans="1:9" ht="14.25" customHeight="1" x14ac:dyDescent="0.3">
      <c r="A11" s="106">
        <v>2.4E-2</v>
      </c>
      <c r="B11" s="112">
        <v>2.4</v>
      </c>
      <c r="C11" s="98" t="s">
        <v>74</v>
      </c>
      <c r="E11" s="104" t="s">
        <v>75</v>
      </c>
      <c r="F11" s="114">
        <v>0.1046</v>
      </c>
      <c r="G11" s="114">
        <v>1.6199999999999999E-2</v>
      </c>
      <c r="H11" s="114">
        <f t="shared" si="0"/>
        <v>0.12079999999999999</v>
      </c>
      <c r="I11" s="115">
        <v>10.46</v>
      </c>
    </row>
    <row r="12" spans="1:9" ht="14.25" customHeight="1" x14ac:dyDescent="0.3">
      <c r="A12" s="106"/>
      <c r="B12" s="107">
        <f>4.75*B6/12</f>
        <v>213354.16666666666</v>
      </c>
      <c r="C12" s="98" t="s">
        <v>9</v>
      </c>
      <c r="E12" s="104" t="s">
        <v>76</v>
      </c>
      <c r="F12" s="116"/>
      <c r="G12" s="116"/>
      <c r="H12" s="116"/>
      <c r="I12" s="116"/>
    </row>
    <row r="13" spans="1:9" ht="14.25" customHeight="1" x14ac:dyDescent="0.3">
      <c r="A13" s="101"/>
      <c r="B13" s="107">
        <f>ROUND(B12/0.25,0)</f>
        <v>853417</v>
      </c>
      <c r="C13" s="98" t="s">
        <v>7</v>
      </c>
      <c r="E13" s="104" t="s">
        <v>77</v>
      </c>
      <c r="F13" s="114">
        <v>7.0000000000000007E-2</v>
      </c>
      <c r="G13" s="114">
        <v>0</v>
      </c>
      <c r="H13" s="114">
        <v>0</v>
      </c>
      <c r="I13" s="115">
        <v>7</v>
      </c>
    </row>
    <row r="16" spans="1:9" ht="14.25" hidden="1" customHeight="1" x14ac:dyDescent="0.3"/>
    <row r="17" spans="12:13" ht="14.25" hidden="1" customHeight="1" x14ac:dyDescent="0.3"/>
    <row r="18" spans="12:13" ht="14.25" hidden="1" customHeight="1" x14ac:dyDescent="0.3"/>
    <row r="19" spans="12:13" ht="14.25" hidden="1" customHeight="1" x14ac:dyDescent="0.3"/>
    <row r="20" spans="12:13" ht="14.25" hidden="1" customHeight="1" x14ac:dyDescent="0.3"/>
    <row r="21" spans="12:13" ht="14.25" hidden="1" customHeight="1" x14ac:dyDescent="0.3"/>
    <row r="22" spans="12:13" ht="14.25" hidden="1" customHeight="1" x14ac:dyDescent="0.3"/>
    <row r="23" spans="12:13" ht="14.25" hidden="1" customHeight="1" x14ac:dyDescent="0.3"/>
    <row r="24" spans="12:13" ht="15.75" hidden="1" customHeight="1" x14ac:dyDescent="0.3">
      <c r="L24" s="98" t="s">
        <v>42</v>
      </c>
    </row>
    <row r="25" spans="12:13" ht="14.25" hidden="1" customHeight="1" x14ac:dyDescent="0.3">
      <c r="L25" s="98" t="s">
        <v>78</v>
      </c>
    </row>
    <row r="26" spans="12:13" ht="14.25" hidden="1" customHeight="1" x14ac:dyDescent="0.3"/>
    <row r="27" spans="12:13" ht="14.25" hidden="1" customHeight="1" x14ac:dyDescent="0.3">
      <c r="L27" s="98" t="s">
        <v>79</v>
      </c>
    </row>
    <row r="28" spans="12:13" ht="14.25" hidden="1" customHeight="1" x14ac:dyDescent="0.3">
      <c r="L28" s="98" t="s">
        <v>80</v>
      </c>
    </row>
    <row r="29" spans="12:13" ht="14.25" hidden="1" customHeight="1" x14ac:dyDescent="0.3">
      <c r="L29" s="98" t="s">
        <v>11</v>
      </c>
    </row>
    <row r="30" spans="12:13" ht="14.25" hidden="1" customHeight="1" x14ac:dyDescent="0.3">
      <c r="L30" s="98" t="s">
        <v>81</v>
      </c>
    </row>
    <row r="31" spans="12:13" ht="14.25" hidden="1" customHeight="1" x14ac:dyDescent="0.3"/>
    <row r="32" spans="12:13" ht="14.25" hidden="1" customHeight="1" x14ac:dyDescent="0.3">
      <c r="M32" s="110"/>
    </row>
    <row r="33" spans="4:13" ht="14.25" hidden="1" customHeight="1" x14ac:dyDescent="0.3">
      <c r="L33" s="98" t="s">
        <v>34</v>
      </c>
      <c r="M33" s="111">
        <v>7.0000000000000007E-2</v>
      </c>
    </row>
    <row r="34" spans="4:13" ht="14.25" hidden="1" customHeight="1" x14ac:dyDescent="0.3">
      <c r="L34" s="98" t="s">
        <v>82</v>
      </c>
      <c r="M34" s="98"/>
    </row>
    <row r="35" spans="4:13" ht="14.25" hidden="1" customHeight="1" x14ac:dyDescent="0.3">
      <c r="L35" s="98" t="s">
        <v>83</v>
      </c>
      <c r="M35" s="98"/>
    </row>
    <row r="36" spans="4:13" ht="14.25" hidden="1" customHeight="1" x14ac:dyDescent="0.3">
      <c r="L36" s="98" t="s">
        <v>84</v>
      </c>
      <c r="M36" s="98"/>
    </row>
    <row r="37" spans="4:13" ht="14.25" hidden="1" customHeight="1" x14ac:dyDescent="0.3">
      <c r="L37" s="98" t="s">
        <v>85</v>
      </c>
      <c r="M37" s="98"/>
    </row>
    <row r="38" spans="4:13" ht="14.25" hidden="1" customHeight="1" x14ac:dyDescent="0.3">
      <c r="L38" s="98" t="s">
        <v>86</v>
      </c>
      <c r="M38" s="98"/>
    </row>
    <row r="39" spans="4:13" ht="14.25" hidden="1" customHeight="1" x14ac:dyDescent="0.3">
      <c r="L39" s="98" t="s">
        <v>87</v>
      </c>
      <c r="M39" s="98"/>
    </row>
    <row r="40" spans="4:13" ht="14.25" hidden="1" customHeight="1" x14ac:dyDescent="0.3"/>
    <row r="41" spans="4:13" ht="14.25" hidden="1" customHeight="1" x14ac:dyDescent="0.3"/>
    <row r="42" spans="4:13" ht="14.25" hidden="1" customHeight="1" x14ac:dyDescent="0.3"/>
    <row r="43" spans="4:13" ht="14.25" hidden="1" customHeight="1" x14ac:dyDescent="0.3"/>
    <row r="44" spans="4:13" ht="14.25" hidden="1" customHeight="1" x14ac:dyDescent="0.3"/>
    <row r="45" spans="4:13" ht="14.25" hidden="1" customHeight="1" x14ac:dyDescent="0.3"/>
    <row r="46" spans="4:13" ht="14.25" hidden="1" customHeight="1" x14ac:dyDescent="0.3"/>
    <row r="47" spans="4:13" ht="14.25" hidden="1" customHeight="1" x14ac:dyDescent="0.3">
      <c r="D47" s="54"/>
    </row>
    <row r="48" spans="4:13" ht="14.25" hidden="1" customHeight="1" x14ac:dyDescent="0.3">
      <c r="D48" s="54"/>
    </row>
    <row r="49" spans="4:4" ht="14.25" hidden="1" customHeight="1" x14ac:dyDescent="0.3">
      <c r="D49" s="54"/>
    </row>
    <row r="50" spans="4:4" ht="14.25" hidden="1" customHeight="1" x14ac:dyDescent="0.3">
      <c r="D50" s="54"/>
    </row>
    <row r="51" spans="4:4" ht="14.25" customHeight="1" x14ac:dyDescent="0.3">
      <c r="D51" s="54"/>
    </row>
    <row r="52" spans="4:4" ht="14.25" customHeight="1" x14ac:dyDescent="0.3">
      <c r="D52" s="54"/>
    </row>
    <row r="53" spans="4:4" ht="14.25" customHeight="1" x14ac:dyDescent="0.3">
      <c r="D53" s="54"/>
    </row>
    <row r="54" spans="4:4" ht="14.25" customHeight="1" x14ac:dyDescent="0.3">
      <c r="D54" s="54"/>
    </row>
    <row r="55" spans="4:4" ht="14.25" customHeight="1" x14ac:dyDescent="0.3">
      <c r="D55" s="54"/>
    </row>
    <row r="56" spans="4:4" ht="14.25" customHeight="1" x14ac:dyDescent="0.3">
      <c r="D56" s="54"/>
    </row>
    <row r="57" spans="4:4" ht="14.25" customHeight="1" x14ac:dyDescent="0.3">
      <c r="D57" s="54"/>
    </row>
    <row r="58" spans="4:4" ht="14.25" customHeight="1" x14ac:dyDescent="0.3">
      <c r="D58" s="54"/>
    </row>
    <row r="59" spans="4:4" ht="14.25" customHeight="1" x14ac:dyDescent="0.3">
      <c r="D59" s="54"/>
    </row>
    <row r="60" spans="4:4" ht="14.25" customHeight="1" x14ac:dyDescent="0.3">
      <c r="D60" s="54"/>
    </row>
    <row r="61" spans="4:4" ht="14.25" customHeight="1" x14ac:dyDescent="0.3">
      <c r="D61" s="54"/>
    </row>
    <row r="62" spans="4:4" ht="14.25" customHeight="1" x14ac:dyDescent="0.3">
      <c r="D62" s="54"/>
    </row>
    <row r="63" spans="4:4" ht="14.25" customHeight="1" x14ac:dyDescent="0.3">
      <c r="D63" s="54"/>
    </row>
    <row r="64" spans="4:4" ht="14.25" customHeight="1" x14ac:dyDescent="0.3">
      <c r="D64" s="54"/>
    </row>
    <row r="65" spans="4:4" ht="14.25" customHeight="1" x14ac:dyDescent="0.3">
      <c r="D65" s="54"/>
    </row>
    <row r="66" spans="4:4" ht="14.25" customHeight="1" x14ac:dyDescent="0.3">
      <c r="D66" s="54"/>
    </row>
    <row r="67" spans="4:4" ht="14.25" customHeight="1" x14ac:dyDescent="0.3">
      <c r="D67" s="54"/>
    </row>
    <row r="68" spans="4:4" ht="14.25" customHeight="1" x14ac:dyDescent="0.3">
      <c r="D68" s="54"/>
    </row>
    <row r="69" spans="4:4" ht="14.25" customHeight="1" x14ac:dyDescent="0.3">
      <c r="D69" s="54"/>
    </row>
    <row r="70" spans="4:4" ht="14.25" customHeight="1" x14ac:dyDescent="0.3">
      <c r="D70" s="54"/>
    </row>
    <row r="71" spans="4:4" ht="14.25" customHeight="1" x14ac:dyDescent="0.3">
      <c r="D71" s="54"/>
    </row>
    <row r="72" spans="4:4" ht="14.25" customHeight="1" x14ac:dyDescent="0.3">
      <c r="D72" s="54"/>
    </row>
    <row r="73" spans="4:4" ht="14.25" customHeight="1" x14ac:dyDescent="0.3">
      <c r="D73" s="54"/>
    </row>
    <row r="74" spans="4:4" ht="14.25" customHeight="1" x14ac:dyDescent="0.3">
      <c r="D74" s="54"/>
    </row>
    <row r="75" spans="4:4" ht="14.25" customHeight="1" x14ac:dyDescent="0.3">
      <c r="D75" s="54"/>
    </row>
    <row r="76" spans="4:4" ht="14.25" customHeight="1" x14ac:dyDescent="0.3">
      <c r="D76" s="54"/>
    </row>
    <row r="77" spans="4:4" ht="14.25" customHeight="1" x14ac:dyDescent="0.3">
      <c r="D77" s="54"/>
    </row>
    <row r="78" spans="4:4" ht="14.25" customHeight="1" x14ac:dyDescent="0.3">
      <c r="D78" s="54"/>
    </row>
    <row r="79" spans="4:4" ht="14.25" customHeight="1" x14ac:dyDescent="0.3">
      <c r="D79" s="54"/>
    </row>
    <row r="80" spans="4:4" ht="14.25" customHeight="1" x14ac:dyDescent="0.3">
      <c r="D80" s="54"/>
    </row>
    <row r="81" spans="4:4" ht="14.25" customHeight="1" x14ac:dyDescent="0.3">
      <c r="D81" s="54"/>
    </row>
    <row r="82" spans="4:4" ht="14.25" customHeight="1" x14ac:dyDescent="0.3">
      <c r="D82" s="54"/>
    </row>
    <row r="83" spans="4:4" ht="14.25" customHeight="1" x14ac:dyDescent="0.3">
      <c r="D83" s="54"/>
    </row>
    <row r="84" spans="4:4" ht="14.25" customHeight="1" x14ac:dyDescent="0.3">
      <c r="D84" s="54"/>
    </row>
    <row r="85" spans="4:4" ht="14.25" customHeight="1" x14ac:dyDescent="0.3">
      <c r="D85" s="54"/>
    </row>
    <row r="86" spans="4:4" ht="14.25" customHeight="1" x14ac:dyDescent="0.3">
      <c r="D86" s="54"/>
    </row>
    <row r="87" spans="4:4" ht="14.25" customHeight="1" x14ac:dyDescent="0.3">
      <c r="D87" s="54"/>
    </row>
    <row r="88" spans="4:4" ht="14.25" customHeight="1" x14ac:dyDescent="0.3">
      <c r="D88" s="54"/>
    </row>
    <row r="89" spans="4:4" ht="14.25" customHeight="1" x14ac:dyDescent="0.3">
      <c r="D89" s="54"/>
    </row>
    <row r="90" spans="4:4" ht="14.25" customHeight="1" x14ac:dyDescent="0.3">
      <c r="D90" s="54"/>
    </row>
    <row r="91" spans="4:4" ht="14.25" customHeight="1" x14ac:dyDescent="0.3">
      <c r="D91" s="54"/>
    </row>
    <row r="92" spans="4:4" ht="14.25" customHeight="1" x14ac:dyDescent="0.3">
      <c r="D92" s="54"/>
    </row>
    <row r="93" spans="4:4" ht="14.25" customHeight="1" x14ac:dyDescent="0.3">
      <c r="D93" s="54"/>
    </row>
    <row r="94" spans="4:4" ht="14.25" customHeight="1" x14ac:dyDescent="0.3">
      <c r="D94" s="54"/>
    </row>
    <row r="95" spans="4:4" ht="14.25" customHeight="1" x14ac:dyDescent="0.3">
      <c r="D95" s="54"/>
    </row>
    <row r="96" spans="4:4" ht="14.25" customHeight="1" x14ac:dyDescent="0.3">
      <c r="D96" s="54"/>
    </row>
    <row r="97" spans="4:4" ht="14.25" customHeight="1" x14ac:dyDescent="0.3">
      <c r="D97" s="54"/>
    </row>
    <row r="98" spans="4:4" ht="14.25" customHeight="1" x14ac:dyDescent="0.3">
      <c r="D98" s="54"/>
    </row>
    <row r="99" spans="4:4" ht="14.25" customHeight="1" x14ac:dyDescent="0.3">
      <c r="D99" s="54"/>
    </row>
    <row r="100" spans="4:4" ht="14.25" customHeight="1" x14ac:dyDescent="0.3">
      <c r="D100" s="54"/>
    </row>
    <row r="101" spans="4:4" ht="14.25" customHeight="1" x14ac:dyDescent="0.3">
      <c r="D101" s="54"/>
    </row>
    <row r="102" spans="4:4" ht="14.25" customHeight="1" x14ac:dyDescent="0.3">
      <c r="D102" s="54"/>
    </row>
    <row r="103" spans="4:4" ht="14.25" customHeight="1" x14ac:dyDescent="0.3">
      <c r="D103" s="54"/>
    </row>
    <row r="104" spans="4:4" ht="14.25" customHeight="1" x14ac:dyDescent="0.3">
      <c r="D104" s="54"/>
    </row>
    <row r="105" spans="4:4" ht="14.25" customHeight="1" x14ac:dyDescent="0.3">
      <c r="D105" s="54"/>
    </row>
    <row r="106" spans="4:4" ht="14.25" customHeight="1" x14ac:dyDescent="0.3">
      <c r="D106" s="54"/>
    </row>
    <row r="107" spans="4:4" ht="14.25" customHeight="1" x14ac:dyDescent="0.3">
      <c r="D107" s="54"/>
    </row>
    <row r="108" spans="4:4" ht="14.25" customHeight="1" x14ac:dyDescent="0.3">
      <c r="D108" s="54"/>
    </row>
    <row r="109" spans="4:4" ht="14.25" customHeight="1" x14ac:dyDescent="0.3">
      <c r="D109" s="54"/>
    </row>
    <row r="110" spans="4:4" ht="14.25" customHeight="1" x14ac:dyDescent="0.3">
      <c r="D110" s="54"/>
    </row>
    <row r="111" spans="4:4" ht="14.25" customHeight="1" x14ac:dyDescent="0.3">
      <c r="D111" s="54"/>
    </row>
    <row r="112" spans="4:4" ht="14.25" customHeight="1" x14ac:dyDescent="0.3">
      <c r="D112" s="54"/>
    </row>
    <row r="113" spans="4:4" ht="14.25" customHeight="1" x14ac:dyDescent="0.3">
      <c r="D113" s="54"/>
    </row>
    <row r="114" spans="4:4" ht="14.25" customHeight="1" x14ac:dyDescent="0.3">
      <c r="D114" s="54"/>
    </row>
    <row r="115" spans="4:4" ht="14.25" customHeight="1" x14ac:dyDescent="0.3">
      <c r="D115" s="54"/>
    </row>
    <row r="116" spans="4:4" ht="14.25" customHeight="1" x14ac:dyDescent="0.3">
      <c r="D116" s="54"/>
    </row>
    <row r="117" spans="4:4" ht="14.25" customHeight="1" x14ac:dyDescent="0.3">
      <c r="D117" s="54"/>
    </row>
    <row r="118" spans="4:4" ht="14.25" customHeight="1" x14ac:dyDescent="0.3">
      <c r="D118" s="54"/>
    </row>
    <row r="119" spans="4:4" ht="14.25" customHeight="1" x14ac:dyDescent="0.3">
      <c r="D119" s="54"/>
    </row>
    <row r="120" spans="4:4" ht="14.25" customHeight="1" x14ac:dyDescent="0.3">
      <c r="D120" s="54"/>
    </row>
    <row r="121" spans="4:4" ht="14.25" customHeight="1" x14ac:dyDescent="0.3">
      <c r="D121" s="54"/>
    </row>
    <row r="122" spans="4:4" ht="14.25" customHeight="1" x14ac:dyDescent="0.3">
      <c r="D122" s="54"/>
    </row>
    <row r="123" spans="4:4" ht="14.25" customHeight="1" x14ac:dyDescent="0.3">
      <c r="D123" s="54"/>
    </row>
    <row r="124" spans="4:4" ht="14.25" customHeight="1" x14ac:dyDescent="0.3">
      <c r="D124" s="54"/>
    </row>
    <row r="125" spans="4:4" ht="14.25" customHeight="1" x14ac:dyDescent="0.3">
      <c r="D125" s="54"/>
    </row>
    <row r="126" spans="4:4" ht="14.25" customHeight="1" x14ac:dyDescent="0.3">
      <c r="D126" s="54"/>
    </row>
    <row r="127" spans="4:4" ht="14.25" customHeight="1" x14ac:dyDescent="0.3">
      <c r="D127" s="54"/>
    </row>
    <row r="128" spans="4:4" ht="14.25" customHeight="1" x14ac:dyDescent="0.3">
      <c r="D128" s="54"/>
    </row>
    <row r="129" spans="4:4" ht="14.25" customHeight="1" x14ac:dyDescent="0.3">
      <c r="D129" s="54"/>
    </row>
    <row r="130" spans="4:4" ht="14.25" customHeight="1" x14ac:dyDescent="0.3">
      <c r="D130" s="54"/>
    </row>
    <row r="131" spans="4:4" ht="14.25" customHeight="1" x14ac:dyDescent="0.3">
      <c r="D131" s="54"/>
    </row>
    <row r="132" spans="4:4" ht="14.25" customHeight="1" x14ac:dyDescent="0.3">
      <c r="D132" s="54"/>
    </row>
    <row r="133" spans="4:4" ht="14.25" customHeight="1" x14ac:dyDescent="0.3">
      <c r="D133" s="54"/>
    </row>
    <row r="134" spans="4:4" ht="14.25" customHeight="1" x14ac:dyDescent="0.3">
      <c r="D134" s="54"/>
    </row>
    <row r="135" spans="4:4" ht="14.25" customHeight="1" x14ac:dyDescent="0.3">
      <c r="D135" s="54"/>
    </row>
    <row r="136" spans="4:4" ht="14.25" customHeight="1" x14ac:dyDescent="0.3">
      <c r="D136" s="54"/>
    </row>
    <row r="137" spans="4:4" ht="14.25" customHeight="1" x14ac:dyDescent="0.3">
      <c r="D137" s="54"/>
    </row>
    <row r="138" spans="4:4" ht="14.25" customHeight="1" x14ac:dyDescent="0.3">
      <c r="D138" s="54"/>
    </row>
    <row r="139" spans="4:4" ht="14.25" customHeight="1" x14ac:dyDescent="0.3">
      <c r="D139" s="54"/>
    </row>
    <row r="140" spans="4:4" ht="14.25" customHeight="1" x14ac:dyDescent="0.3">
      <c r="D140" s="54"/>
    </row>
    <row r="141" spans="4:4" ht="14.25" customHeight="1" x14ac:dyDescent="0.3">
      <c r="D141" s="54"/>
    </row>
    <row r="142" spans="4:4" ht="14.25" customHeight="1" x14ac:dyDescent="0.3">
      <c r="D142" s="54"/>
    </row>
    <row r="143" spans="4:4" ht="14.25" customHeight="1" x14ac:dyDescent="0.3">
      <c r="D143" s="54"/>
    </row>
    <row r="144" spans="4:4" ht="14.25" customHeight="1" x14ac:dyDescent="0.3">
      <c r="D144" s="54"/>
    </row>
    <row r="145" spans="4:4" ht="14.25" customHeight="1" x14ac:dyDescent="0.3">
      <c r="D145" s="54"/>
    </row>
    <row r="146" spans="4:4" ht="14.25" customHeight="1" x14ac:dyDescent="0.3">
      <c r="D146" s="54"/>
    </row>
    <row r="147" spans="4:4" ht="14.25" customHeight="1" x14ac:dyDescent="0.3">
      <c r="D147" s="54"/>
    </row>
    <row r="148" spans="4:4" ht="14.25" customHeight="1" x14ac:dyDescent="0.3">
      <c r="D148" s="54"/>
    </row>
    <row r="149" spans="4:4" ht="14.25" customHeight="1" x14ac:dyDescent="0.3">
      <c r="D149" s="54"/>
    </row>
    <row r="150" spans="4:4" ht="14.25" customHeight="1" x14ac:dyDescent="0.3">
      <c r="D150" s="54"/>
    </row>
    <row r="151" spans="4:4" ht="14.25" customHeight="1" x14ac:dyDescent="0.3">
      <c r="D151" s="54"/>
    </row>
    <row r="152" spans="4:4" ht="14.25" customHeight="1" x14ac:dyDescent="0.3">
      <c r="D152" s="54"/>
    </row>
    <row r="153" spans="4:4" ht="14.25" customHeight="1" x14ac:dyDescent="0.3">
      <c r="D153" s="54"/>
    </row>
    <row r="154" spans="4:4" ht="14.25" customHeight="1" x14ac:dyDescent="0.3">
      <c r="D154" s="54"/>
    </row>
    <row r="155" spans="4:4" ht="14.25" customHeight="1" x14ac:dyDescent="0.3">
      <c r="D155" s="54"/>
    </row>
    <row r="156" spans="4:4" ht="14.25" customHeight="1" x14ac:dyDescent="0.3">
      <c r="D156" s="54"/>
    </row>
    <row r="157" spans="4:4" ht="14.25" customHeight="1" x14ac:dyDescent="0.3">
      <c r="D157" s="54"/>
    </row>
    <row r="158" spans="4:4" ht="14.25" customHeight="1" x14ac:dyDescent="0.3">
      <c r="D158" s="54"/>
    </row>
    <row r="159" spans="4:4" ht="14.25" customHeight="1" x14ac:dyDescent="0.3">
      <c r="D159" s="54"/>
    </row>
    <row r="160" spans="4:4" ht="14.25" customHeight="1" x14ac:dyDescent="0.3">
      <c r="D160" s="54"/>
    </row>
    <row r="161" spans="4:4" ht="14.25" customHeight="1" x14ac:dyDescent="0.3">
      <c r="D161" s="54"/>
    </row>
    <row r="162" spans="4:4" ht="14.25" customHeight="1" x14ac:dyDescent="0.3">
      <c r="D162" s="54"/>
    </row>
    <row r="163" spans="4:4" ht="14.25" customHeight="1" x14ac:dyDescent="0.3">
      <c r="D163" s="54"/>
    </row>
    <row r="164" spans="4:4" ht="14.25" customHeight="1" x14ac:dyDescent="0.3">
      <c r="D164" s="54"/>
    </row>
    <row r="165" spans="4:4" ht="14.25" customHeight="1" x14ac:dyDescent="0.3">
      <c r="D165" s="54"/>
    </row>
    <row r="166" spans="4:4" ht="14.25" customHeight="1" x14ac:dyDescent="0.3">
      <c r="D166" s="54"/>
    </row>
    <row r="167" spans="4:4" ht="14.25" customHeight="1" x14ac:dyDescent="0.3">
      <c r="D167" s="54"/>
    </row>
    <row r="168" spans="4:4" ht="14.25" customHeight="1" x14ac:dyDescent="0.3">
      <c r="D168" s="54"/>
    </row>
    <row r="169" spans="4:4" ht="14.25" customHeight="1" x14ac:dyDescent="0.3">
      <c r="D169" s="54"/>
    </row>
    <row r="170" spans="4:4" ht="14.25" customHeight="1" x14ac:dyDescent="0.3">
      <c r="D170" s="54"/>
    </row>
    <row r="171" spans="4:4" ht="14.25" customHeight="1" x14ac:dyDescent="0.3">
      <c r="D171" s="54"/>
    </row>
    <row r="172" spans="4:4" ht="14.25" customHeight="1" x14ac:dyDescent="0.3">
      <c r="D172" s="54"/>
    </row>
    <row r="173" spans="4:4" ht="14.25" customHeight="1" x14ac:dyDescent="0.3">
      <c r="D173" s="54"/>
    </row>
    <row r="174" spans="4:4" ht="14.25" customHeight="1" x14ac:dyDescent="0.3">
      <c r="D174" s="54"/>
    </row>
    <row r="175" spans="4:4" ht="14.25" customHeight="1" x14ac:dyDescent="0.3">
      <c r="D175" s="54"/>
    </row>
    <row r="176" spans="4:4" ht="14.25" customHeight="1" x14ac:dyDescent="0.3">
      <c r="D176" s="54"/>
    </row>
    <row r="177" spans="4:4" ht="14.25" customHeight="1" x14ac:dyDescent="0.3">
      <c r="D177" s="54"/>
    </row>
    <row r="178" spans="4:4" ht="14.25" customHeight="1" x14ac:dyDescent="0.3">
      <c r="D178" s="54"/>
    </row>
    <row r="179" spans="4:4" ht="14.25" customHeight="1" x14ac:dyDescent="0.3">
      <c r="D179" s="54"/>
    </row>
    <row r="180" spans="4:4" ht="14.25" customHeight="1" x14ac:dyDescent="0.3">
      <c r="D180" s="54"/>
    </row>
    <row r="181" spans="4:4" ht="14.25" customHeight="1" x14ac:dyDescent="0.3">
      <c r="D181" s="54"/>
    </row>
    <row r="182" spans="4:4" ht="14.25" customHeight="1" x14ac:dyDescent="0.3">
      <c r="D182" s="54"/>
    </row>
    <row r="183" spans="4:4" ht="14.25" customHeight="1" x14ac:dyDescent="0.3">
      <c r="D183" s="54"/>
    </row>
    <row r="184" spans="4:4" ht="14.25" customHeight="1" x14ac:dyDescent="0.3">
      <c r="D184" s="54"/>
    </row>
    <row r="185" spans="4:4" ht="14.25" customHeight="1" x14ac:dyDescent="0.3">
      <c r="D185" s="54"/>
    </row>
    <row r="186" spans="4:4" ht="14.25" customHeight="1" x14ac:dyDescent="0.3">
      <c r="D186" s="54"/>
    </row>
    <row r="187" spans="4:4" ht="14.25" customHeight="1" x14ac:dyDescent="0.3">
      <c r="D187" s="54"/>
    </row>
    <row r="188" spans="4:4" ht="14.25" customHeight="1" x14ac:dyDescent="0.3">
      <c r="D188" s="54"/>
    </row>
    <row r="189" spans="4:4" ht="14.25" customHeight="1" x14ac:dyDescent="0.3">
      <c r="D189" s="54"/>
    </row>
    <row r="190" spans="4:4" ht="14.25" customHeight="1" x14ac:dyDescent="0.3">
      <c r="D190" s="54"/>
    </row>
    <row r="191" spans="4:4" ht="14.25" customHeight="1" x14ac:dyDescent="0.3">
      <c r="D191" s="54"/>
    </row>
    <row r="192" spans="4:4" ht="14.25" customHeight="1" x14ac:dyDescent="0.3">
      <c r="D192" s="54"/>
    </row>
    <row r="193" spans="4:4" ht="14.25" customHeight="1" x14ac:dyDescent="0.3">
      <c r="D193" s="54"/>
    </row>
    <row r="194" spans="4:4" ht="14.25" customHeight="1" x14ac:dyDescent="0.3">
      <c r="D194" s="54"/>
    </row>
    <row r="195" spans="4:4" ht="14.25" customHeight="1" x14ac:dyDescent="0.3">
      <c r="D195" s="54"/>
    </row>
    <row r="196" spans="4:4" ht="14.25" customHeight="1" x14ac:dyDescent="0.3">
      <c r="D196" s="54"/>
    </row>
    <row r="197" spans="4:4" ht="14.25" customHeight="1" x14ac:dyDescent="0.3">
      <c r="D197" s="54"/>
    </row>
    <row r="198" spans="4:4" ht="14.25" customHeight="1" x14ac:dyDescent="0.3">
      <c r="D198" s="54"/>
    </row>
    <row r="199" spans="4:4" ht="14.25" customHeight="1" x14ac:dyDescent="0.3">
      <c r="D199" s="54"/>
    </row>
    <row r="200" spans="4:4" ht="14.25" customHeight="1" x14ac:dyDescent="0.3">
      <c r="D200" s="54"/>
    </row>
    <row r="201" spans="4:4" ht="14.25" customHeight="1" x14ac:dyDescent="0.3">
      <c r="D201" s="54"/>
    </row>
    <row r="202" spans="4:4" ht="14.25" customHeight="1" x14ac:dyDescent="0.3">
      <c r="D202" s="54"/>
    </row>
    <row r="203" spans="4:4" ht="14.25" customHeight="1" x14ac:dyDescent="0.3">
      <c r="D203" s="54"/>
    </row>
    <row r="204" spans="4:4" ht="14.25" customHeight="1" x14ac:dyDescent="0.3">
      <c r="D204" s="54"/>
    </row>
    <row r="205" spans="4:4" ht="14.25" customHeight="1" x14ac:dyDescent="0.3">
      <c r="D205" s="54"/>
    </row>
    <row r="206" spans="4:4" ht="14.25" customHeight="1" x14ac:dyDescent="0.3">
      <c r="D206" s="54"/>
    </row>
    <row r="207" spans="4:4" ht="14.25" customHeight="1" x14ac:dyDescent="0.3">
      <c r="D207" s="54"/>
    </row>
    <row r="208" spans="4:4" ht="14.25" customHeight="1" x14ac:dyDescent="0.3">
      <c r="D208" s="54"/>
    </row>
    <row r="209" spans="4:4" ht="14.25" customHeight="1" x14ac:dyDescent="0.3">
      <c r="D209" s="54"/>
    </row>
    <row r="210" spans="4:4" ht="14.25" customHeight="1" x14ac:dyDescent="0.3">
      <c r="D210" s="54"/>
    </row>
    <row r="211" spans="4:4" ht="14.25" customHeight="1" x14ac:dyDescent="0.3">
      <c r="D211" s="54"/>
    </row>
    <row r="212" spans="4:4" ht="14.25" customHeight="1" x14ac:dyDescent="0.3">
      <c r="D212" s="54"/>
    </row>
    <row r="213" spans="4:4" ht="14.25" customHeight="1" x14ac:dyDescent="0.3">
      <c r="D213" s="54"/>
    </row>
    <row r="214" spans="4:4" ht="14.25" customHeight="1" x14ac:dyDescent="0.3">
      <c r="D214" s="54"/>
    </row>
    <row r="215" spans="4:4" ht="14.25" customHeight="1" x14ac:dyDescent="0.3">
      <c r="D215" s="54"/>
    </row>
    <row r="216" spans="4:4" ht="14.25" customHeight="1" x14ac:dyDescent="0.3">
      <c r="D216" s="54"/>
    </row>
    <row r="217" spans="4:4" ht="14.25" customHeight="1" x14ac:dyDescent="0.3">
      <c r="D217" s="54"/>
    </row>
    <row r="218" spans="4:4" ht="14.25" customHeight="1" x14ac:dyDescent="0.3">
      <c r="D218" s="54"/>
    </row>
    <row r="219" spans="4:4" ht="14.25" customHeight="1" x14ac:dyDescent="0.3">
      <c r="D219" s="54"/>
    </row>
    <row r="220" spans="4:4" ht="14.25" customHeight="1" x14ac:dyDescent="0.3">
      <c r="D220" s="54"/>
    </row>
    <row r="221" spans="4:4" ht="14.25" customHeight="1" x14ac:dyDescent="0.3">
      <c r="D221" s="54"/>
    </row>
    <row r="222" spans="4:4" ht="14.25" customHeight="1" x14ac:dyDescent="0.3">
      <c r="D222" s="54"/>
    </row>
    <row r="223" spans="4:4" ht="14.25" customHeight="1" x14ac:dyDescent="0.3">
      <c r="D223" s="54"/>
    </row>
    <row r="224" spans="4:4" ht="14.25" customHeight="1" x14ac:dyDescent="0.3">
      <c r="D224" s="54"/>
    </row>
    <row r="225" spans="4:4" ht="14.25" customHeight="1" x14ac:dyDescent="0.3">
      <c r="D225" s="54"/>
    </row>
    <row r="226" spans="4:4" ht="14.25" customHeight="1" x14ac:dyDescent="0.3">
      <c r="D226" s="54"/>
    </row>
    <row r="227" spans="4:4" ht="14.25" customHeight="1" x14ac:dyDescent="0.3">
      <c r="D227" s="54"/>
    </row>
    <row r="228" spans="4:4" ht="14.25" customHeight="1" x14ac:dyDescent="0.3">
      <c r="D228" s="54"/>
    </row>
    <row r="229" spans="4:4" ht="14.25" customHeight="1" x14ac:dyDescent="0.3">
      <c r="D229" s="54"/>
    </row>
    <row r="230" spans="4:4" ht="14.25" customHeight="1" x14ac:dyDescent="0.3">
      <c r="D230" s="54"/>
    </row>
    <row r="231" spans="4:4" ht="14.25" customHeight="1" x14ac:dyDescent="0.3">
      <c r="D231" s="54"/>
    </row>
    <row r="232" spans="4:4" ht="14.25" customHeight="1" x14ac:dyDescent="0.3">
      <c r="D232" s="54"/>
    </row>
    <row r="233" spans="4:4" ht="14.25" customHeight="1" x14ac:dyDescent="0.3">
      <c r="D233" s="54"/>
    </row>
    <row r="234" spans="4:4" ht="14.25" customHeight="1" x14ac:dyDescent="0.3">
      <c r="D234" s="54"/>
    </row>
    <row r="235" spans="4:4" ht="14.25" customHeight="1" x14ac:dyDescent="0.3">
      <c r="D235" s="54"/>
    </row>
    <row r="236" spans="4:4" ht="14.25" customHeight="1" x14ac:dyDescent="0.3">
      <c r="D236" s="54"/>
    </row>
    <row r="237" spans="4:4" ht="14.25" customHeight="1" x14ac:dyDescent="0.3">
      <c r="D237" s="54"/>
    </row>
    <row r="238" spans="4:4" ht="14.25" customHeight="1" x14ac:dyDescent="0.3">
      <c r="D238" s="54"/>
    </row>
    <row r="239" spans="4:4" ht="14.25" customHeight="1" x14ac:dyDescent="0.3">
      <c r="D239" s="54"/>
    </row>
    <row r="240" spans="4:4" ht="14.25" customHeight="1" x14ac:dyDescent="0.3">
      <c r="D240" s="54"/>
    </row>
    <row r="241" spans="4:4" ht="14.25" customHeight="1" x14ac:dyDescent="0.3">
      <c r="D241" s="54"/>
    </row>
    <row r="242" spans="4:4" ht="14.25" customHeight="1" x14ac:dyDescent="0.3">
      <c r="D242" s="54"/>
    </row>
    <row r="243" spans="4:4" ht="14.25" customHeight="1" x14ac:dyDescent="0.3">
      <c r="D243" s="54"/>
    </row>
    <row r="244" spans="4:4" ht="14.25" customHeight="1" x14ac:dyDescent="0.3">
      <c r="D244" s="54"/>
    </row>
    <row r="245" spans="4:4" ht="14.25" customHeight="1" x14ac:dyDescent="0.3">
      <c r="D245" s="54"/>
    </row>
    <row r="246" spans="4:4" ht="14.25" customHeight="1" x14ac:dyDescent="0.3">
      <c r="D246" s="54"/>
    </row>
    <row r="247" spans="4:4" ht="14.25" customHeight="1" x14ac:dyDescent="0.3">
      <c r="D247" s="54"/>
    </row>
    <row r="248" spans="4:4" ht="14.25" customHeight="1" x14ac:dyDescent="0.3">
      <c r="D248" s="54"/>
    </row>
    <row r="249" spans="4:4" ht="14.25" customHeight="1" x14ac:dyDescent="0.3">
      <c r="D249" s="54"/>
    </row>
    <row r="250" spans="4:4" ht="14.25" customHeight="1" x14ac:dyDescent="0.3">
      <c r="D250" s="54"/>
    </row>
    <row r="251" spans="4:4" ht="14.25" customHeight="1" x14ac:dyDescent="0.3">
      <c r="D251" s="54"/>
    </row>
    <row r="252" spans="4:4" ht="14.25" customHeight="1" x14ac:dyDescent="0.3">
      <c r="D252" s="54"/>
    </row>
    <row r="253" spans="4:4" ht="14.25" customHeight="1" x14ac:dyDescent="0.3">
      <c r="D253" s="54"/>
    </row>
    <row r="254" spans="4:4" ht="14.25" customHeight="1" x14ac:dyDescent="0.3">
      <c r="D254" s="54"/>
    </row>
    <row r="255" spans="4:4" ht="14.25" customHeight="1" x14ac:dyDescent="0.3">
      <c r="D255" s="54"/>
    </row>
    <row r="256" spans="4:4" ht="14.25" customHeight="1" x14ac:dyDescent="0.3">
      <c r="D256" s="54"/>
    </row>
    <row r="257" spans="4:4" ht="14.25" customHeight="1" x14ac:dyDescent="0.3">
      <c r="D257" s="54"/>
    </row>
    <row r="258" spans="4:4" ht="14.25" customHeight="1" x14ac:dyDescent="0.3">
      <c r="D258" s="54"/>
    </row>
    <row r="259" spans="4:4" ht="14.25" customHeight="1" x14ac:dyDescent="0.3">
      <c r="D259" s="54"/>
    </row>
    <row r="260" spans="4:4" ht="14.25" customHeight="1" x14ac:dyDescent="0.3">
      <c r="D260" s="54"/>
    </row>
    <row r="261" spans="4:4" ht="14.25" customHeight="1" x14ac:dyDescent="0.3">
      <c r="D261" s="54"/>
    </row>
    <row r="262" spans="4:4" ht="14.25" customHeight="1" x14ac:dyDescent="0.3">
      <c r="D262" s="54"/>
    </row>
    <row r="263" spans="4:4" ht="14.25" customHeight="1" x14ac:dyDescent="0.3">
      <c r="D263" s="54"/>
    </row>
    <row r="264" spans="4:4" ht="14.25" customHeight="1" x14ac:dyDescent="0.3">
      <c r="D264" s="54"/>
    </row>
    <row r="265" spans="4:4" ht="14.25" customHeight="1" x14ac:dyDescent="0.3">
      <c r="D265" s="54"/>
    </row>
    <row r="266" spans="4:4" ht="14.25" customHeight="1" x14ac:dyDescent="0.3">
      <c r="D266" s="54"/>
    </row>
    <row r="267" spans="4:4" ht="14.25" customHeight="1" x14ac:dyDescent="0.3">
      <c r="D267" s="54"/>
    </row>
    <row r="268" spans="4:4" ht="14.25" customHeight="1" x14ac:dyDescent="0.3">
      <c r="D268" s="54"/>
    </row>
    <row r="269" spans="4:4" ht="14.25" customHeight="1" x14ac:dyDescent="0.3">
      <c r="D269" s="54"/>
    </row>
    <row r="270" spans="4:4" ht="14.25" customHeight="1" x14ac:dyDescent="0.3">
      <c r="D270" s="54"/>
    </row>
    <row r="271" spans="4:4" ht="14.25" customHeight="1" x14ac:dyDescent="0.3">
      <c r="D271" s="54"/>
    </row>
    <row r="272" spans="4:4" ht="14.25" customHeight="1" x14ac:dyDescent="0.3">
      <c r="D272" s="54"/>
    </row>
    <row r="273" spans="4:4" ht="14.25" customHeight="1" x14ac:dyDescent="0.3">
      <c r="D273" s="54"/>
    </row>
    <row r="274" spans="4:4" ht="14.25" customHeight="1" x14ac:dyDescent="0.3">
      <c r="D274" s="54"/>
    </row>
    <row r="275" spans="4:4" ht="14.25" customHeight="1" x14ac:dyDescent="0.3">
      <c r="D275" s="54"/>
    </row>
    <row r="276" spans="4:4" ht="14.25" customHeight="1" x14ac:dyDescent="0.3">
      <c r="D276" s="54"/>
    </row>
    <row r="277" spans="4:4" ht="14.25" customHeight="1" x14ac:dyDescent="0.3">
      <c r="D277" s="54"/>
    </row>
    <row r="278" spans="4:4" ht="14.25" customHeight="1" x14ac:dyDescent="0.3">
      <c r="D278" s="54"/>
    </row>
    <row r="279" spans="4:4" ht="14.25" customHeight="1" x14ac:dyDescent="0.3">
      <c r="D279" s="54"/>
    </row>
    <row r="280" spans="4:4" ht="14.25" customHeight="1" x14ac:dyDescent="0.3">
      <c r="D280" s="54"/>
    </row>
    <row r="281" spans="4:4" ht="14.25" customHeight="1" x14ac:dyDescent="0.3">
      <c r="D281" s="54"/>
    </row>
    <row r="282" spans="4:4" ht="14.25" customHeight="1" x14ac:dyDescent="0.3">
      <c r="D282" s="54"/>
    </row>
    <row r="283" spans="4:4" ht="14.25" customHeight="1" x14ac:dyDescent="0.3">
      <c r="D283" s="54"/>
    </row>
    <row r="284" spans="4:4" ht="14.25" customHeight="1" x14ac:dyDescent="0.3">
      <c r="D284" s="54"/>
    </row>
    <row r="285" spans="4:4" ht="14.25" customHeight="1" x14ac:dyDescent="0.3">
      <c r="D285" s="54"/>
    </row>
    <row r="286" spans="4:4" ht="14.25" customHeight="1" x14ac:dyDescent="0.3">
      <c r="D286" s="54"/>
    </row>
    <row r="287" spans="4:4" ht="14.25" customHeight="1" x14ac:dyDescent="0.3">
      <c r="D287" s="54"/>
    </row>
    <row r="288" spans="4:4" ht="14.25" customHeight="1" x14ac:dyDescent="0.3">
      <c r="D288" s="54"/>
    </row>
    <row r="289" spans="4:4" ht="14.25" customHeight="1" x14ac:dyDescent="0.3">
      <c r="D289" s="54"/>
    </row>
    <row r="290" spans="4:4" ht="14.25" customHeight="1" x14ac:dyDescent="0.3">
      <c r="D290" s="54"/>
    </row>
    <row r="291" spans="4:4" ht="14.25" customHeight="1" x14ac:dyDescent="0.3">
      <c r="D291" s="54"/>
    </row>
    <row r="292" spans="4:4" ht="14.25" customHeight="1" x14ac:dyDescent="0.3">
      <c r="D292" s="54"/>
    </row>
    <row r="293" spans="4:4" ht="14.25" customHeight="1" x14ac:dyDescent="0.3">
      <c r="D293" s="54"/>
    </row>
    <row r="294" spans="4:4" ht="14.25" customHeight="1" x14ac:dyDescent="0.3">
      <c r="D294" s="54"/>
    </row>
    <row r="295" spans="4:4" ht="14.25" customHeight="1" x14ac:dyDescent="0.3">
      <c r="D295" s="54"/>
    </row>
    <row r="296" spans="4:4" ht="14.25" customHeight="1" x14ac:dyDescent="0.3">
      <c r="D296" s="54"/>
    </row>
    <row r="297" spans="4:4" ht="14.25" customHeight="1" x14ac:dyDescent="0.3">
      <c r="D297" s="54"/>
    </row>
    <row r="298" spans="4:4" ht="14.25" customHeight="1" x14ac:dyDescent="0.3">
      <c r="D298" s="54"/>
    </row>
    <row r="299" spans="4:4" ht="14.25" customHeight="1" x14ac:dyDescent="0.3">
      <c r="D299" s="54"/>
    </row>
    <row r="300" spans="4:4" ht="14.25" customHeight="1" x14ac:dyDescent="0.3">
      <c r="D300" s="54"/>
    </row>
    <row r="301" spans="4:4" ht="14.25" customHeight="1" x14ac:dyDescent="0.3">
      <c r="D301" s="54"/>
    </row>
    <row r="302" spans="4:4" ht="14.25" customHeight="1" x14ac:dyDescent="0.3">
      <c r="D302" s="54"/>
    </row>
    <row r="303" spans="4:4" ht="14.25" customHeight="1" x14ac:dyDescent="0.3">
      <c r="D303" s="54"/>
    </row>
    <row r="304" spans="4:4" ht="14.25" customHeight="1" x14ac:dyDescent="0.3">
      <c r="D304" s="54"/>
    </row>
    <row r="305" spans="4:4" ht="14.25" customHeight="1" x14ac:dyDescent="0.3">
      <c r="D305" s="54"/>
    </row>
    <row r="306" spans="4:4" ht="14.25" customHeight="1" x14ac:dyDescent="0.3">
      <c r="D306" s="54"/>
    </row>
    <row r="307" spans="4:4" ht="14.25" customHeight="1" x14ac:dyDescent="0.3">
      <c r="D307" s="54"/>
    </row>
    <row r="308" spans="4:4" ht="14.25" customHeight="1" x14ac:dyDescent="0.3">
      <c r="D308" s="54"/>
    </row>
    <row r="309" spans="4:4" ht="14.25" customHeight="1" x14ac:dyDescent="0.3">
      <c r="D309" s="54"/>
    </row>
    <row r="310" spans="4:4" ht="14.25" customHeight="1" x14ac:dyDescent="0.3">
      <c r="D310" s="54"/>
    </row>
    <row r="311" spans="4:4" ht="14.25" customHeight="1" x14ac:dyDescent="0.3">
      <c r="D311" s="54"/>
    </row>
    <row r="312" spans="4:4" ht="14.25" customHeight="1" x14ac:dyDescent="0.3">
      <c r="D312" s="54"/>
    </row>
    <row r="313" spans="4:4" ht="14.25" customHeight="1" x14ac:dyDescent="0.3">
      <c r="D313" s="54"/>
    </row>
    <row r="314" spans="4:4" ht="14.25" customHeight="1" x14ac:dyDescent="0.3">
      <c r="D314" s="54"/>
    </row>
    <row r="315" spans="4:4" ht="14.25" customHeight="1" x14ac:dyDescent="0.3">
      <c r="D315" s="54"/>
    </row>
    <row r="316" spans="4:4" ht="14.25" customHeight="1" x14ac:dyDescent="0.3">
      <c r="D316" s="54"/>
    </row>
    <row r="317" spans="4:4" ht="14.25" customHeight="1" x14ac:dyDescent="0.3">
      <c r="D317" s="54"/>
    </row>
    <row r="318" spans="4:4" ht="14.25" customHeight="1" x14ac:dyDescent="0.3">
      <c r="D318" s="54"/>
    </row>
    <row r="319" spans="4:4" ht="14.25" customHeight="1" x14ac:dyDescent="0.3">
      <c r="D319" s="54"/>
    </row>
    <row r="320" spans="4:4" ht="14.25" customHeight="1" x14ac:dyDescent="0.3">
      <c r="D320" s="54"/>
    </row>
    <row r="321" spans="4:4" ht="14.25" customHeight="1" x14ac:dyDescent="0.3">
      <c r="D321" s="54"/>
    </row>
    <row r="322" spans="4:4" ht="14.25" customHeight="1" x14ac:dyDescent="0.3">
      <c r="D322" s="54"/>
    </row>
    <row r="323" spans="4:4" ht="14.25" customHeight="1" x14ac:dyDescent="0.3">
      <c r="D323" s="54"/>
    </row>
    <row r="324" spans="4:4" ht="14.25" customHeight="1" x14ac:dyDescent="0.3">
      <c r="D324" s="54"/>
    </row>
    <row r="325" spans="4:4" ht="14.25" customHeight="1" x14ac:dyDescent="0.3">
      <c r="D325" s="54"/>
    </row>
    <row r="326" spans="4:4" ht="14.25" customHeight="1" x14ac:dyDescent="0.3">
      <c r="D326" s="54"/>
    </row>
    <row r="327" spans="4:4" ht="14.25" customHeight="1" x14ac:dyDescent="0.3">
      <c r="D327" s="54"/>
    </row>
    <row r="328" spans="4:4" ht="14.25" customHeight="1" x14ac:dyDescent="0.3">
      <c r="D328" s="54"/>
    </row>
    <row r="329" spans="4:4" ht="14.25" customHeight="1" x14ac:dyDescent="0.3">
      <c r="D329" s="54"/>
    </row>
    <row r="330" spans="4:4" ht="14.25" customHeight="1" x14ac:dyDescent="0.3">
      <c r="D330" s="54"/>
    </row>
    <row r="331" spans="4:4" ht="14.25" customHeight="1" x14ac:dyDescent="0.3">
      <c r="D331" s="54"/>
    </row>
    <row r="332" spans="4:4" ht="14.25" customHeight="1" x14ac:dyDescent="0.3">
      <c r="D332" s="54"/>
    </row>
    <row r="333" spans="4:4" ht="14.25" customHeight="1" x14ac:dyDescent="0.3">
      <c r="D333" s="54"/>
    </row>
    <row r="334" spans="4:4" ht="14.25" customHeight="1" x14ac:dyDescent="0.3">
      <c r="D334" s="54"/>
    </row>
    <row r="335" spans="4:4" ht="14.25" customHeight="1" x14ac:dyDescent="0.3">
      <c r="D335" s="54"/>
    </row>
    <row r="336" spans="4:4" ht="14.25" customHeight="1" x14ac:dyDescent="0.3">
      <c r="D336" s="54"/>
    </row>
    <row r="337" spans="4:4" ht="14.25" customHeight="1" x14ac:dyDescent="0.3">
      <c r="D337" s="54"/>
    </row>
    <row r="338" spans="4:4" ht="14.25" customHeight="1" x14ac:dyDescent="0.3">
      <c r="D338" s="54"/>
    </row>
    <row r="339" spans="4:4" ht="14.25" customHeight="1" x14ac:dyDescent="0.3">
      <c r="D339" s="54"/>
    </row>
    <row r="340" spans="4:4" ht="14.25" customHeight="1" x14ac:dyDescent="0.3">
      <c r="D340" s="54"/>
    </row>
    <row r="341" spans="4:4" ht="14.25" customHeight="1" x14ac:dyDescent="0.3">
      <c r="D341" s="54"/>
    </row>
    <row r="342" spans="4:4" ht="14.25" customHeight="1" x14ac:dyDescent="0.3">
      <c r="D342" s="54"/>
    </row>
    <row r="343" spans="4:4" ht="14.25" customHeight="1" x14ac:dyDescent="0.3">
      <c r="D343" s="54"/>
    </row>
    <row r="344" spans="4:4" ht="14.25" customHeight="1" x14ac:dyDescent="0.3">
      <c r="D344" s="54"/>
    </row>
    <row r="345" spans="4:4" ht="14.25" customHeight="1" x14ac:dyDescent="0.3">
      <c r="D345" s="54"/>
    </row>
    <row r="346" spans="4:4" ht="14.25" customHeight="1" x14ac:dyDescent="0.3">
      <c r="D346" s="54"/>
    </row>
    <row r="347" spans="4:4" ht="14.25" customHeight="1" x14ac:dyDescent="0.3">
      <c r="D347" s="54"/>
    </row>
    <row r="348" spans="4:4" ht="14.25" customHeight="1" x14ac:dyDescent="0.3">
      <c r="D348" s="54"/>
    </row>
    <row r="349" spans="4:4" ht="14.25" customHeight="1" x14ac:dyDescent="0.3">
      <c r="D349" s="54"/>
    </row>
    <row r="350" spans="4:4" ht="14.25" customHeight="1" x14ac:dyDescent="0.3">
      <c r="D350" s="54"/>
    </row>
    <row r="351" spans="4:4" ht="14.25" customHeight="1" x14ac:dyDescent="0.3">
      <c r="D351" s="54"/>
    </row>
    <row r="352" spans="4:4" ht="14.25" customHeight="1" x14ac:dyDescent="0.3">
      <c r="D352" s="54"/>
    </row>
    <row r="353" spans="4:4" ht="14.25" customHeight="1" x14ac:dyDescent="0.3">
      <c r="D353" s="54"/>
    </row>
    <row r="354" spans="4:4" ht="14.25" customHeight="1" x14ac:dyDescent="0.3">
      <c r="D354" s="54"/>
    </row>
    <row r="355" spans="4:4" ht="14.25" customHeight="1" x14ac:dyDescent="0.3">
      <c r="D355" s="54"/>
    </row>
    <row r="356" spans="4:4" ht="14.25" customHeight="1" x14ac:dyDescent="0.3">
      <c r="D356" s="54"/>
    </row>
    <row r="357" spans="4:4" ht="14.25" customHeight="1" x14ac:dyDescent="0.3">
      <c r="D357" s="54"/>
    </row>
    <row r="358" spans="4:4" ht="14.25" customHeight="1" x14ac:dyDescent="0.3">
      <c r="D358" s="54"/>
    </row>
    <row r="359" spans="4:4" ht="14.25" customHeight="1" x14ac:dyDescent="0.3">
      <c r="D359" s="54"/>
    </row>
    <row r="360" spans="4:4" ht="14.25" customHeight="1" x14ac:dyDescent="0.3">
      <c r="D360" s="54"/>
    </row>
    <row r="361" spans="4:4" ht="14.25" customHeight="1" x14ac:dyDescent="0.3">
      <c r="D361" s="54"/>
    </row>
    <row r="362" spans="4:4" ht="14.25" customHeight="1" x14ac:dyDescent="0.3">
      <c r="D362" s="54"/>
    </row>
    <row r="363" spans="4:4" ht="14.25" customHeight="1" x14ac:dyDescent="0.3">
      <c r="D363" s="54"/>
    </row>
    <row r="364" spans="4:4" ht="14.25" customHeight="1" x14ac:dyDescent="0.3">
      <c r="D364" s="54"/>
    </row>
    <row r="365" spans="4:4" ht="14.25" customHeight="1" x14ac:dyDescent="0.3">
      <c r="D365" s="54"/>
    </row>
    <row r="366" spans="4:4" ht="14.25" customHeight="1" x14ac:dyDescent="0.3">
      <c r="D366" s="54"/>
    </row>
    <row r="367" spans="4:4" ht="14.25" customHeight="1" x14ac:dyDescent="0.3">
      <c r="D367" s="54"/>
    </row>
    <row r="368" spans="4:4" ht="14.25" customHeight="1" x14ac:dyDescent="0.3">
      <c r="D368" s="54"/>
    </row>
    <row r="369" spans="4:4" ht="14.25" customHeight="1" x14ac:dyDescent="0.3">
      <c r="D369" s="54"/>
    </row>
    <row r="370" spans="4:4" ht="14.25" customHeight="1" x14ac:dyDescent="0.3">
      <c r="D370" s="54"/>
    </row>
    <row r="371" spans="4:4" ht="14.25" customHeight="1" x14ac:dyDescent="0.3">
      <c r="D371" s="54"/>
    </row>
    <row r="372" spans="4:4" ht="14.25" customHeight="1" x14ac:dyDescent="0.3">
      <c r="D372" s="54"/>
    </row>
    <row r="373" spans="4:4" ht="14.25" customHeight="1" x14ac:dyDescent="0.3">
      <c r="D373" s="54"/>
    </row>
    <row r="374" spans="4:4" ht="14.25" customHeight="1" x14ac:dyDescent="0.3">
      <c r="D374" s="54"/>
    </row>
    <row r="375" spans="4:4" ht="14.25" customHeight="1" x14ac:dyDescent="0.3">
      <c r="D375" s="54"/>
    </row>
    <row r="376" spans="4:4" ht="14.25" customHeight="1" x14ac:dyDescent="0.3">
      <c r="D376" s="54"/>
    </row>
    <row r="377" spans="4:4" ht="14.25" customHeight="1" x14ac:dyDescent="0.3">
      <c r="D377" s="54"/>
    </row>
    <row r="378" spans="4:4" ht="14.25" customHeight="1" x14ac:dyDescent="0.3">
      <c r="D378" s="54"/>
    </row>
    <row r="379" spans="4:4" ht="14.25" customHeight="1" x14ac:dyDescent="0.3">
      <c r="D379" s="54"/>
    </row>
    <row r="380" spans="4:4" ht="14.25" customHeight="1" x14ac:dyDescent="0.3">
      <c r="D380" s="54"/>
    </row>
    <row r="381" spans="4:4" ht="14.25" customHeight="1" x14ac:dyDescent="0.3">
      <c r="D381" s="54"/>
    </row>
    <row r="382" spans="4:4" ht="14.25" customHeight="1" x14ac:dyDescent="0.3">
      <c r="D382" s="54"/>
    </row>
    <row r="383" spans="4:4" ht="14.25" customHeight="1" x14ac:dyDescent="0.3">
      <c r="D383" s="54"/>
    </row>
    <row r="384" spans="4:4" ht="14.25" customHeight="1" x14ac:dyDescent="0.3">
      <c r="D384" s="54"/>
    </row>
    <row r="385" spans="4:4" ht="14.25" customHeight="1" x14ac:dyDescent="0.3">
      <c r="D385" s="54"/>
    </row>
    <row r="386" spans="4:4" ht="14.25" customHeight="1" x14ac:dyDescent="0.3">
      <c r="D386" s="54"/>
    </row>
    <row r="387" spans="4:4" ht="14.25" customHeight="1" x14ac:dyDescent="0.3">
      <c r="D387" s="54"/>
    </row>
    <row r="388" spans="4:4" ht="14.25" customHeight="1" x14ac:dyDescent="0.3">
      <c r="D388" s="54"/>
    </row>
    <row r="389" spans="4:4" ht="14.25" customHeight="1" x14ac:dyDescent="0.3">
      <c r="D389" s="54"/>
    </row>
    <row r="390" spans="4:4" ht="14.25" customHeight="1" x14ac:dyDescent="0.3">
      <c r="D390" s="54"/>
    </row>
    <row r="391" spans="4:4" ht="14.25" customHeight="1" x14ac:dyDescent="0.3">
      <c r="D391" s="54"/>
    </row>
    <row r="392" spans="4:4" ht="14.25" customHeight="1" x14ac:dyDescent="0.3">
      <c r="D392" s="54"/>
    </row>
    <row r="393" spans="4:4" ht="14.25" customHeight="1" x14ac:dyDescent="0.3">
      <c r="D393" s="54"/>
    </row>
    <row r="394" spans="4:4" ht="14.25" customHeight="1" x14ac:dyDescent="0.3">
      <c r="D394" s="54"/>
    </row>
    <row r="395" spans="4:4" ht="14.25" customHeight="1" x14ac:dyDescent="0.3">
      <c r="D395" s="54"/>
    </row>
    <row r="396" spans="4:4" ht="14.25" customHeight="1" x14ac:dyDescent="0.3">
      <c r="D396" s="54"/>
    </row>
    <row r="397" spans="4:4" ht="14.25" customHeight="1" x14ac:dyDescent="0.3">
      <c r="D397" s="54"/>
    </row>
    <row r="398" spans="4:4" ht="14.25" customHeight="1" x14ac:dyDescent="0.3">
      <c r="D398" s="54"/>
    </row>
    <row r="399" spans="4:4" ht="14.25" customHeight="1" x14ac:dyDescent="0.3">
      <c r="D399" s="54"/>
    </row>
    <row r="400" spans="4:4" ht="14.25" customHeight="1" x14ac:dyDescent="0.3">
      <c r="D400" s="54"/>
    </row>
    <row r="401" spans="4:4" ht="14.25" customHeight="1" x14ac:dyDescent="0.3">
      <c r="D401" s="54"/>
    </row>
    <row r="402" spans="4:4" ht="14.25" customHeight="1" x14ac:dyDescent="0.3">
      <c r="D402" s="54"/>
    </row>
    <row r="403" spans="4:4" ht="14.25" customHeight="1" x14ac:dyDescent="0.3">
      <c r="D403" s="54"/>
    </row>
    <row r="404" spans="4:4" ht="14.25" customHeight="1" x14ac:dyDescent="0.3">
      <c r="D404" s="54"/>
    </row>
    <row r="405" spans="4:4" ht="14.25" customHeight="1" x14ac:dyDescent="0.3">
      <c r="D405" s="54"/>
    </row>
    <row r="406" spans="4:4" ht="14.25" customHeight="1" x14ac:dyDescent="0.3">
      <c r="D406" s="54"/>
    </row>
    <row r="407" spans="4:4" ht="14.25" customHeight="1" x14ac:dyDescent="0.3">
      <c r="D407" s="54"/>
    </row>
    <row r="408" spans="4:4" ht="14.25" customHeight="1" x14ac:dyDescent="0.3">
      <c r="D408" s="54"/>
    </row>
    <row r="409" spans="4:4" ht="14.25" customHeight="1" x14ac:dyDescent="0.3">
      <c r="D409" s="54"/>
    </row>
    <row r="410" spans="4:4" ht="14.25" customHeight="1" x14ac:dyDescent="0.3">
      <c r="D410" s="54"/>
    </row>
    <row r="411" spans="4:4" ht="14.25" customHeight="1" x14ac:dyDescent="0.3">
      <c r="D411" s="54"/>
    </row>
    <row r="412" spans="4:4" ht="14.25" customHeight="1" x14ac:dyDescent="0.3">
      <c r="D412" s="54"/>
    </row>
    <row r="413" spans="4:4" ht="14.25" customHeight="1" x14ac:dyDescent="0.3">
      <c r="D413" s="54"/>
    </row>
    <row r="414" spans="4:4" ht="14.25" customHeight="1" x14ac:dyDescent="0.3">
      <c r="D414" s="54"/>
    </row>
    <row r="415" spans="4:4" ht="14.25" customHeight="1" x14ac:dyDescent="0.3">
      <c r="D415" s="54"/>
    </row>
    <row r="416" spans="4:4" ht="14.25" customHeight="1" x14ac:dyDescent="0.3">
      <c r="D416" s="54"/>
    </row>
    <row r="417" spans="4:4" ht="14.25" customHeight="1" x14ac:dyDescent="0.3">
      <c r="D417" s="54"/>
    </row>
    <row r="418" spans="4:4" ht="14.25" customHeight="1" x14ac:dyDescent="0.3">
      <c r="D418" s="54"/>
    </row>
    <row r="419" spans="4:4" ht="14.25" customHeight="1" x14ac:dyDescent="0.3">
      <c r="D419" s="54"/>
    </row>
    <row r="420" spans="4:4" ht="14.25" customHeight="1" x14ac:dyDescent="0.3">
      <c r="D420" s="54"/>
    </row>
    <row r="421" spans="4:4" ht="14.25" customHeight="1" x14ac:dyDescent="0.3">
      <c r="D421" s="54"/>
    </row>
    <row r="422" spans="4:4" ht="14.25" customHeight="1" x14ac:dyDescent="0.3">
      <c r="D422" s="54"/>
    </row>
    <row r="423" spans="4:4" ht="14.25" customHeight="1" x14ac:dyDescent="0.3">
      <c r="D423" s="54"/>
    </row>
    <row r="424" spans="4:4" ht="14.25" customHeight="1" x14ac:dyDescent="0.3">
      <c r="D424" s="54"/>
    </row>
    <row r="425" spans="4:4" ht="14.25" customHeight="1" x14ac:dyDescent="0.3">
      <c r="D425" s="54"/>
    </row>
    <row r="426" spans="4:4" ht="14.25" customHeight="1" x14ac:dyDescent="0.3">
      <c r="D426" s="54"/>
    </row>
    <row r="427" spans="4:4" ht="14.25" customHeight="1" x14ac:dyDescent="0.3">
      <c r="D427" s="54"/>
    </row>
    <row r="428" spans="4:4" ht="14.25" customHeight="1" x14ac:dyDescent="0.3">
      <c r="D428" s="54"/>
    </row>
    <row r="429" spans="4:4" ht="14.25" customHeight="1" x14ac:dyDescent="0.3">
      <c r="D429" s="54"/>
    </row>
    <row r="430" spans="4:4" ht="14.25" customHeight="1" x14ac:dyDescent="0.3">
      <c r="D430" s="54"/>
    </row>
    <row r="431" spans="4:4" ht="14.25" customHeight="1" x14ac:dyDescent="0.3">
      <c r="D431" s="54"/>
    </row>
    <row r="432" spans="4:4" ht="14.25" customHeight="1" x14ac:dyDescent="0.3">
      <c r="D432" s="54"/>
    </row>
    <row r="433" spans="4:4" ht="14.25" customHeight="1" x14ac:dyDescent="0.3">
      <c r="D433" s="54"/>
    </row>
    <row r="434" spans="4:4" ht="14.25" customHeight="1" x14ac:dyDescent="0.3">
      <c r="D434" s="54"/>
    </row>
    <row r="435" spans="4:4" ht="14.25" customHeight="1" x14ac:dyDescent="0.3">
      <c r="D435" s="54"/>
    </row>
    <row r="436" spans="4:4" ht="14.25" customHeight="1" x14ac:dyDescent="0.3">
      <c r="D436" s="54"/>
    </row>
    <row r="437" spans="4:4" ht="14.25" customHeight="1" x14ac:dyDescent="0.3">
      <c r="D437" s="54"/>
    </row>
    <row r="438" spans="4:4" ht="14.25" customHeight="1" x14ac:dyDescent="0.3">
      <c r="D438" s="54"/>
    </row>
    <row r="439" spans="4:4" ht="14.25" customHeight="1" x14ac:dyDescent="0.3">
      <c r="D439" s="54"/>
    </row>
    <row r="440" spans="4:4" ht="14.25" customHeight="1" x14ac:dyDescent="0.3">
      <c r="D440" s="54"/>
    </row>
    <row r="441" spans="4:4" ht="14.25" customHeight="1" x14ac:dyDescent="0.3">
      <c r="D441" s="54"/>
    </row>
    <row r="442" spans="4:4" ht="14.25" customHeight="1" x14ac:dyDescent="0.3">
      <c r="D442" s="54"/>
    </row>
    <row r="443" spans="4:4" ht="14.25" customHeight="1" x14ac:dyDescent="0.3">
      <c r="D443" s="54"/>
    </row>
    <row r="444" spans="4:4" ht="14.25" customHeight="1" x14ac:dyDescent="0.3">
      <c r="D444" s="54"/>
    </row>
    <row r="445" spans="4:4" ht="14.25" customHeight="1" x14ac:dyDescent="0.3">
      <c r="D445" s="54"/>
    </row>
    <row r="446" spans="4:4" ht="14.25" customHeight="1" x14ac:dyDescent="0.3">
      <c r="D446" s="54"/>
    </row>
    <row r="447" spans="4:4" ht="14.25" customHeight="1" x14ac:dyDescent="0.3">
      <c r="D447" s="54"/>
    </row>
    <row r="448" spans="4:4" ht="14.25" customHeight="1" x14ac:dyDescent="0.3">
      <c r="D448" s="54"/>
    </row>
    <row r="449" spans="4:4" ht="14.25" customHeight="1" x14ac:dyDescent="0.3">
      <c r="D449" s="54"/>
    </row>
    <row r="450" spans="4:4" ht="14.25" customHeight="1" x14ac:dyDescent="0.3">
      <c r="D450" s="54"/>
    </row>
    <row r="451" spans="4:4" ht="14.25" customHeight="1" x14ac:dyDescent="0.3">
      <c r="D451" s="54"/>
    </row>
    <row r="452" spans="4:4" ht="14.25" customHeight="1" x14ac:dyDescent="0.3">
      <c r="D452" s="54"/>
    </row>
    <row r="453" spans="4:4" ht="14.25" customHeight="1" x14ac:dyDescent="0.3">
      <c r="D453" s="54"/>
    </row>
    <row r="454" spans="4:4" ht="14.25" customHeight="1" x14ac:dyDescent="0.3">
      <c r="D454" s="54"/>
    </row>
    <row r="455" spans="4:4" ht="14.25" customHeight="1" x14ac:dyDescent="0.3">
      <c r="D455" s="54"/>
    </row>
    <row r="456" spans="4:4" ht="14.25" customHeight="1" x14ac:dyDescent="0.3">
      <c r="D456" s="54"/>
    </row>
    <row r="457" spans="4:4" ht="14.25" customHeight="1" x14ac:dyDescent="0.3">
      <c r="D457" s="54"/>
    </row>
    <row r="458" spans="4:4" ht="14.25" customHeight="1" x14ac:dyDescent="0.3">
      <c r="D458" s="54"/>
    </row>
    <row r="459" spans="4:4" ht="14.25" customHeight="1" x14ac:dyDescent="0.3">
      <c r="D459" s="54"/>
    </row>
    <row r="460" spans="4:4" ht="14.25" customHeight="1" x14ac:dyDescent="0.3">
      <c r="D460" s="54"/>
    </row>
    <row r="461" spans="4:4" ht="14.25" customHeight="1" x14ac:dyDescent="0.3">
      <c r="D461" s="54"/>
    </row>
    <row r="462" spans="4:4" ht="14.25" customHeight="1" x14ac:dyDescent="0.3">
      <c r="D462" s="54"/>
    </row>
    <row r="463" spans="4:4" ht="14.25" customHeight="1" x14ac:dyDescent="0.3">
      <c r="D463" s="54"/>
    </row>
    <row r="464" spans="4:4" ht="14.25" customHeight="1" x14ac:dyDescent="0.3">
      <c r="D464" s="54"/>
    </row>
    <row r="465" spans="4:4" ht="14.25" customHeight="1" x14ac:dyDescent="0.3">
      <c r="D465" s="54"/>
    </row>
    <row r="466" spans="4:4" ht="14.25" customHeight="1" x14ac:dyDescent="0.3">
      <c r="D466" s="54"/>
    </row>
    <row r="467" spans="4:4" ht="14.25" customHeight="1" x14ac:dyDescent="0.3">
      <c r="D467" s="54"/>
    </row>
    <row r="468" spans="4:4" ht="14.25" customHeight="1" x14ac:dyDescent="0.3">
      <c r="D468" s="54"/>
    </row>
    <row r="469" spans="4:4" ht="14.25" customHeight="1" x14ac:dyDescent="0.3">
      <c r="D469" s="54"/>
    </row>
    <row r="470" spans="4:4" ht="14.25" customHeight="1" x14ac:dyDescent="0.3">
      <c r="D470" s="54"/>
    </row>
    <row r="471" spans="4:4" ht="14.25" customHeight="1" x14ac:dyDescent="0.3">
      <c r="D471" s="54"/>
    </row>
    <row r="472" spans="4:4" ht="14.25" customHeight="1" x14ac:dyDescent="0.3">
      <c r="D472" s="54"/>
    </row>
    <row r="473" spans="4:4" ht="14.25" customHeight="1" x14ac:dyDescent="0.3">
      <c r="D473" s="54"/>
    </row>
    <row r="474" spans="4:4" ht="14.25" customHeight="1" x14ac:dyDescent="0.3">
      <c r="D474" s="54"/>
    </row>
    <row r="475" spans="4:4" ht="14.25" customHeight="1" x14ac:dyDescent="0.3">
      <c r="D475" s="54"/>
    </row>
    <row r="476" spans="4:4" ht="14.25" customHeight="1" x14ac:dyDescent="0.3">
      <c r="D476" s="54"/>
    </row>
    <row r="477" spans="4:4" ht="14.25" customHeight="1" x14ac:dyDescent="0.3">
      <c r="D477" s="54"/>
    </row>
    <row r="478" spans="4:4" ht="14.25" customHeight="1" x14ac:dyDescent="0.3">
      <c r="D478" s="54"/>
    </row>
    <row r="479" spans="4:4" ht="14.25" customHeight="1" x14ac:dyDescent="0.3">
      <c r="D479" s="54"/>
    </row>
    <row r="480" spans="4:4" ht="14.25" customHeight="1" x14ac:dyDescent="0.3">
      <c r="D480" s="54"/>
    </row>
    <row r="481" spans="4:4" ht="14.25" customHeight="1" x14ac:dyDescent="0.3">
      <c r="D481" s="54"/>
    </row>
    <row r="482" spans="4:4" ht="14.25" customHeight="1" x14ac:dyDescent="0.3">
      <c r="D482" s="54"/>
    </row>
    <row r="483" spans="4:4" ht="14.25" customHeight="1" x14ac:dyDescent="0.3">
      <c r="D483" s="54"/>
    </row>
    <row r="484" spans="4:4" ht="14.25" customHeight="1" x14ac:dyDescent="0.3">
      <c r="D484" s="54"/>
    </row>
    <row r="485" spans="4:4" ht="14.25" customHeight="1" x14ac:dyDescent="0.3">
      <c r="D485" s="54"/>
    </row>
    <row r="486" spans="4:4" ht="14.25" customHeight="1" x14ac:dyDescent="0.3">
      <c r="D486" s="54"/>
    </row>
    <row r="487" spans="4:4" ht="14.25" customHeight="1" x14ac:dyDescent="0.3">
      <c r="D487" s="54"/>
    </row>
    <row r="488" spans="4:4" ht="14.25" customHeight="1" x14ac:dyDescent="0.3">
      <c r="D488" s="54"/>
    </row>
    <row r="489" spans="4:4" ht="14.25" customHeight="1" x14ac:dyDescent="0.3">
      <c r="D489" s="54"/>
    </row>
    <row r="490" spans="4:4" ht="14.25" customHeight="1" x14ac:dyDescent="0.3">
      <c r="D490" s="54"/>
    </row>
    <row r="491" spans="4:4" ht="14.25" customHeight="1" x14ac:dyDescent="0.3">
      <c r="D491" s="54"/>
    </row>
    <row r="492" spans="4:4" ht="14.25" customHeight="1" x14ac:dyDescent="0.3">
      <c r="D492" s="54"/>
    </row>
    <row r="493" spans="4:4" ht="14.25" customHeight="1" x14ac:dyDescent="0.3">
      <c r="D493" s="54"/>
    </row>
    <row r="494" spans="4:4" ht="14.25" customHeight="1" x14ac:dyDescent="0.3">
      <c r="D494" s="54"/>
    </row>
    <row r="495" spans="4:4" ht="14.25" customHeight="1" x14ac:dyDescent="0.3">
      <c r="D495" s="54"/>
    </row>
    <row r="496" spans="4:4" ht="14.25" customHeight="1" x14ac:dyDescent="0.3">
      <c r="D496" s="54"/>
    </row>
    <row r="497" spans="4:4" ht="14.25" customHeight="1" x14ac:dyDescent="0.3">
      <c r="D497" s="54"/>
    </row>
    <row r="498" spans="4:4" ht="14.25" customHeight="1" x14ac:dyDescent="0.3">
      <c r="D498" s="54"/>
    </row>
    <row r="499" spans="4:4" ht="14.25" customHeight="1" x14ac:dyDescent="0.3">
      <c r="D499" s="54"/>
    </row>
    <row r="500" spans="4:4" ht="14.25" customHeight="1" x14ac:dyDescent="0.3">
      <c r="D500" s="54"/>
    </row>
    <row r="501" spans="4:4" ht="14.25" customHeight="1" x14ac:dyDescent="0.3">
      <c r="D501" s="54"/>
    </row>
    <row r="502" spans="4:4" ht="14.25" customHeight="1" x14ac:dyDescent="0.3">
      <c r="D502" s="54"/>
    </row>
    <row r="503" spans="4:4" ht="14.25" customHeight="1" x14ac:dyDescent="0.3">
      <c r="D503" s="54"/>
    </row>
    <row r="504" spans="4:4" ht="14.25" customHeight="1" x14ac:dyDescent="0.3">
      <c r="D504" s="54"/>
    </row>
    <row r="505" spans="4:4" ht="14.25" customHeight="1" x14ac:dyDescent="0.3">
      <c r="D505" s="54"/>
    </row>
    <row r="506" spans="4:4" ht="14.25" customHeight="1" x14ac:dyDescent="0.3">
      <c r="D506" s="54"/>
    </row>
    <row r="507" spans="4:4" ht="14.25" customHeight="1" x14ac:dyDescent="0.3">
      <c r="D507" s="54"/>
    </row>
    <row r="508" spans="4:4" ht="14.25" customHeight="1" x14ac:dyDescent="0.3">
      <c r="D508" s="54"/>
    </row>
    <row r="509" spans="4:4" ht="14.25" customHeight="1" x14ac:dyDescent="0.3">
      <c r="D509" s="54"/>
    </row>
    <row r="510" spans="4:4" ht="14.25" customHeight="1" x14ac:dyDescent="0.3">
      <c r="D510" s="54"/>
    </row>
    <row r="511" spans="4:4" ht="14.25" customHeight="1" x14ac:dyDescent="0.3">
      <c r="D511" s="54"/>
    </row>
    <row r="512" spans="4:4" ht="14.25" customHeight="1" x14ac:dyDescent="0.3">
      <c r="D512" s="54"/>
    </row>
    <row r="513" spans="4:4" ht="14.25" customHeight="1" x14ac:dyDescent="0.3">
      <c r="D513" s="54"/>
    </row>
    <row r="514" spans="4:4" ht="14.25" customHeight="1" x14ac:dyDescent="0.3">
      <c r="D514" s="54"/>
    </row>
    <row r="515" spans="4:4" ht="14.25" customHeight="1" x14ac:dyDescent="0.3">
      <c r="D515" s="54"/>
    </row>
    <row r="516" spans="4:4" ht="14.25" customHeight="1" x14ac:dyDescent="0.3">
      <c r="D516" s="54"/>
    </row>
    <row r="517" spans="4:4" ht="14.25" customHeight="1" x14ac:dyDescent="0.3">
      <c r="D517" s="54"/>
    </row>
    <row r="518" spans="4:4" ht="14.25" customHeight="1" x14ac:dyDescent="0.3">
      <c r="D518" s="54"/>
    </row>
    <row r="519" spans="4:4" ht="14.25" customHeight="1" x14ac:dyDescent="0.3">
      <c r="D519" s="54"/>
    </row>
    <row r="520" spans="4:4" ht="14.25" customHeight="1" x14ac:dyDescent="0.3">
      <c r="D520" s="54"/>
    </row>
    <row r="521" spans="4:4" ht="14.25" customHeight="1" x14ac:dyDescent="0.3">
      <c r="D521" s="54"/>
    </row>
    <row r="522" spans="4:4" ht="14.25" customHeight="1" x14ac:dyDescent="0.3">
      <c r="D522" s="54"/>
    </row>
    <row r="523" spans="4:4" ht="14.25" customHeight="1" x14ac:dyDescent="0.3">
      <c r="D523" s="54"/>
    </row>
    <row r="524" spans="4:4" ht="14.25" customHeight="1" x14ac:dyDescent="0.3">
      <c r="D524" s="54"/>
    </row>
    <row r="525" spans="4:4" ht="14.25" customHeight="1" x14ac:dyDescent="0.3">
      <c r="D525" s="54"/>
    </row>
    <row r="526" spans="4:4" ht="14.25" customHeight="1" x14ac:dyDescent="0.3">
      <c r="D526" s="54"/>
    </row>
    <row r="527" spans="4:4" ht="14.25" customHeight="1" x14ac:dyDescent="0.3">
      <c r="D527" s="54"/>
    </row>
    <row r="528" spans="4:4" ht="14.25" customHeight="1" x14ac:dyDescent="0.3">
      <c r="D528" s="54"/>
    </row>
    <row r="529" spans="4:4" ht="14.25" customHeight="1" x14ac:dyDescent="0.3">
      <c r="D529" s="54"/>
    </row>
    <row r="530" spans="4:4" ht="14.25" customHeight="1" x14ac:dyDescent="0.3">
      <c r="D530" s="54"/>
    </row>
    <row r="531" spans="4:4" ht="14.25" customHeight="1" x14ac:dyDescent="0.3">
      <c r="D531" s="54"/>
    </row>
    <row r="532" spans="4:4" ht="14.25" customHeight="1" x14ac:dyDescent="0.3">
      <c r="D532" s="54"/>
    </row>
    <row r="533" spans="4:4" ht="14.25" customHeight="1" x14ac:dyDescent="0.3">
      <c r="D533" s="54"/>
    </row>
    <row r="534" spans="4:4" ht="14.25" customHeight="1" x14ac:dyDescent="0.3">
      <c r="D534" s="54"/>
    </row>
    <row r="535" spans="4:4" ht="14.25" customHeight="1" x14ac:dyDescent="0.3">
      <c r="D535" s="54"/>
    </row>
    <row r="536" spans="4:4" ht="14.25" customHeight="1" x14ac:dyDescent="0.3">
      <c r="D536" s="54"/>
    </row>
    <row r="537" spans="4:4" ht="14.25" customHeight="1" x14ac:dyDescent="0.3">
      <c r="D537" s="54"/>
    </row>
    <row r="538" spans="4:4" ht="14.25" customHeight="1" x14ac:dyDescent="0.3">
      <c r="D538" s="54"/>
    </row>
    <row r="539" spans="4:4" ht="14.25" customHeight="1" x14ac:dyDescent="0.3">
      <c r="D539" s="54"/>
    </row>
    <row r="540" spans="4:4" ht="14.25" customHeight="1" x14ac:dyDescent="0.3">
      <c r="D540" s="54"/>
    </row>
    <row r="541" spans="4:4" ht="14.25" customHeight="1" x14ac:dyDescent="0.3">
      <c r="D541" s="54"/>
    </row>
    <row r="542" spans="4:4" ht="14.25" customHeight="1" x14ac:dyDescent="0.3">
      <c r="D542" s="54"/>
    </row>
    <row r="543" spans="4:4" ht="14.25" customHeight="1" x14ac:dyDescent="0.3">
      <c r="D543" s="54"/>
    </row>
    <row r="544" spans="4:4" ht="14.25" customHeight="1" x14ac:dyDescent="0.3">
      <c r="D544" s="54"/>
    </row>
    <row r="545" spans="4:4" ht="14.25" customHeight="1" x14ac:dyDescent="0.3">
      <c r="D545" s="54"/>
    </row>
    <row r="546" spans="4:4" ht="14.25" customHeight="1" x14ac:dyDescent="0.3">
      <c r="D546" s="54"/>
    </row>
    <row r="547" spans="4:4" ht="14.25" customHeight="1" x14ac:dyDescent="0.3">
      <c r="D547" s="54"/>
    </row>
    <row r="548" spans="4:4" ht="14.25" customHeight="1" x14ac:dyDescent="0.3">
      <c r="D548" s="54"/>
    </row>
    <row r="549" spans="4:4" ht="14.25" customHeight="1" x14ac:dyDescent="0.3">
      <c r="D549" s="54"/>
    </row>
    <row r="550" spans="4:4" ht="14.25" customHeight="1" x14ac:dyDescent="0.3">
      <c r="D550" s="54"/>
    </row>
    <row r="551" spans="4:4" ht="14.25" customHeight="1" x14ac:dyDescent="0.3">
      <c r="D551" s="54"/>
    </row>
    <row r="552" spans="4:4" ht="14.25" customHeight="1" x14ac:dyDescent="0.3">
      <c r="D552" s="54"/>
    </row>
    <row r="553" spans="4:4" ht="14.25" customHeight="1" x14ac:dyDescent="0.3">
      <c r="D553" s="54"/>
    </row>
    <row r="554" spans="4:4" ht="14.25" customHeight="1" x14ac:dyDescent="0.3">
      <c r="D554" s="54"/>
    </row>
    <row r="555" spans="4:4" ht="14.25" customHeight="1" x14ac:dyDescent="0.3">
      <c r="D555" s="54"/>
    </row>
    <row r="556" spans="4:4" ht="14.25" customHeight="1" x14ac:dyDescent="0.3">
      <c r="D556" s="54"/>
    </row>
    <row r="557" spans="4:4" ht="14.25" customHeight="1" x14ac:dyDescent="0.3">
      <c r="D557" s="54"/>
    </row>
    <row r="558" spans="4:4" ht="14.25" customHeight="1" x14ac:dyDescent="0.3">
      <c r="D558" s="54"/>
    </row>
    <row r="559" spans="4:4" ht="14.25" customHeight="1" x14ac:dyDescent="0.3">
      <c r="D559" s="54"/>
    </row>
    <row r="560" spans="4:4" ht="14.25" customHeight="1" x14ac:dyDescent="0.3">
      <c r="D560" s="54"/>
    </row>
    <row r="561" spans="4:4" ht="14.25" customHeight="1" x14ac:dyDescent="0.3">
      <c r="D561" s="54"/>
    </row>
    <row r="562" spans="4:4" ht="14.25" customHeight="1" x14ac:dyDescent="0.3">
      <c r="D562" s="54"/>
    </row>
    <row r="563" spans="4:4" ht="14.25" customHeight="1" x14ac:dyDescent="0.3">
      <c r="D563" s="54"/>
    </row>
    <row r="564" spans="4:4" ht="14.25" customHeight="1" x14ac:dyDescent="0.3">
      <c r="D564" s="54"/>
    </row>
    <row r="565" spans="4:4" ht="14.25" customHeight="1" x14ac:dyDescent="0.3">
      <c r="D565" s="54"/>
    </row>
    <row r="566" spans="4:4" ht="14.25" customHeight="1" x14ac:dyDescent="0.3">
      <c r="D566" s="54"/>
    </row>
    <row r="567" spans="4:4" ht="14.25" customHeight="1" x14ac:dyDescent="0.3">
      <c r="D567" s="54"/>
    </row>
    <row r="568" spans="4:4" ht="14.25" customHeight="1" x14ac:dyDescent="0.3">
      <c r="D568" s="54"/>
    </row>
    <row r="569" spans="4:4" ht="14.25" customHeight="1" x14ac:dyDescent="0.3">
      <c r="D569" s="54"/>
    </row>
    <row r="570" spans="4:4" ht="14.25" customHeight="1" x14ac:dyDescent="0.3">
      <c r="D570" s="54"/>
    </row>
    <row r="571" spans="4:4" ht="14.25" customHeight="1" x14ac:dyDescent="0.3">
      <c r="D571" s="54"/>
    </row>
    <row r="572" spans="4:4" ht="14.25" customHeight="1" x14ac:dyDescent="0.3">
      <c r="D572" s="54"/>
    </row>
    <row r="573" spans="4:4" ht="14.25" customHeight="1" x14ac:dyDescent="0.3">
      <c r="D573" s="54"/>
    </row>
    <row r="574" spans="4:4" ht="14.25" customHeight="1" x14ac:dyDescent="0.3">
      <c r="D574" s="54"/>
    </row>
    <row r="575" spans="4:4" ht="14.25" customHeight="1" x14ac:dyDescent="0.3">
      <c r="D575" s="54"/>
    </row>
    <row r="576" spans="4:4" ht="14.25" customHeight="1" x14ac:dyDescent="0.3">
      <c r="D576" s="54"/>
    </row>
    <row r="577" spans="4:4" ht="14.25" customHeight="1" x14ac:dyDescent="0.3">
      <c r="D577" s="54"/>
    </row>
    <row r="578" spans="4:4" ht="14.25" customHeight="1" x14ac:dyDescent="0.3">
      <c r="D578" s="54"/>
    </row>
    <row r="579" spans="4:4" ht="14.25" customHeight="1" x14ac:dyDescent="0.3">
      <c r="D579" s="54"/>
    </row>
    <row r="580" spans="4:4" ht="14.25" customHeight="1" x14ac:dyDescent="0.3">
      <c r="D580" s="54"/>
    </row>
    <row r="581" spans="4:4" ht="14.25" customHeight="1" x14ac:dyDescent="0.3">
      <c r="D581" s="54"/>
    </row>
    <row r="582" spans="4:4" ht="14.25" customHeight="1" x14ac:dyDescent="0.3">
      <c r="D582" s="54"/>
    </row>
    <row r="583" spans="4:4" ht="14.25" customHeight="1" x14ac:dyDescent="0.3">
      <c r="D583" s="54"/>
    </row>
    <row r="584" spans="4:4" ht="14.25" customHeight="1" x14ac:dyDescent="0.3">
      <c r="D584" s="54"/>
    </row>
    <row r="585" spans="4:4" ht="14.25" customHeight="1" x14ac:dyDescent="0.3">
      <c r="D585" s="54"/>
    </row>
    <row r="586" spans="4:4" ht="14.25" customHeight="1" x14ac:dyDescent="0.3">
      <c r="D586" s="54"/>
    </row>
    <row r="587" spans="4:4" ht="14.25" customHeight="1" x14ac:dyDescent="0.3">
      <c r="D587" s="54"/>
    </row>
    <row r="588" spans="4:4" ht="14.25" customHeight="1" x14ac:dyDescent="0.3">
      <c r="D588" s="54"/>
    </row>
    <row r="589" spans="4:4" ht="14.25" customHeight="1" x14ac:dyDescent="0.3">
      <c r="D589" s="54"/>
    </row>
    <row r="590" spans="4:4" ht="14.25" customHeight="1" x14ac:dyDescent="0.3">
      <c r="D590" s="54"/>
    </row>
    <row r="591" spans="4:4" ht="14.25" customHeight="1" x14ac:dyDescent="0.3">
      <c r="D591" s="54"/>
    </row>
    <row r="592" spans="4:4" ht="14.25" customHeight="1" x14ac:dyDescent="0.3">
      <c r="D592" s="54"/>
    </row>
    <row r="593" spans="4:4" ht="14.25" customHeight="1" x14ac:dyDescent="0.3">
      <c r="D593" s="54"/>
    </row>
    <row r="594" spans="4:4" ht="14.25" customHeight="1" x14ac:dyDescent="0.3">
      <c r="D594" s="54"/>
    </row>
    <row r="595" spans="4:4" ht="14.25" customHeight="1" x14ac:dyDescent="0.3">
      <c r="D595" s="54"/>
    </row>
    <row r="596" spans="4:4" ht="14.25" customHeight="1" x14ac:dyDescent="0.3">
      <c r="D596" s="54"/>
    </row>
    <row r="597" spans="4:4" ht="14.25" customHeight="1" x14ac:dyDescent="0.3">
      <c r="D597" s="54"/>
    </row>
    <row r="598" spans="4:4" ht="14.25" customHeight="1" x14ac:dyDescent="0.3">
      <c r="D598" s="54"/>
    </row>
    <row r="599" spans="4:4" ht="14.25" customHeight="1" x14ac:dyDescent="0.3">
      <c r="D599" s="54"/>
    </row>
    <row r="600" spans="4:4" ht="14.25" customHeight="1" x14ac:dyDescent="0.3">
      <c r="D600" s="54"/>
    </row>
    <row r="601" spans="4:4" ht="14.25" customHeight="1" x14ac:dyDescent="0.3">
      <c r="D601" s="54"/>
    </row>
    <row r="602" spans="4:4" ht="14.25" customHeight="1" x14ac:dyDescent="0.3">
      <c r="D602" s="54"/>
    </row>
    <row r="603" spans="4:4" ht="14.25" customHeight="1" x14ac:dyDescent="0.3">
      <c r="D603" s="54"/>
    </row>
    <row r="604" spans="4:4" ht="14.25" customHeight="1" x14ac:dyDescent="0.3">
      <c r="D604" s="54"/>
    </row>
    <row r="605" spans="4:4" ht="14.25" customHeight="1" x14ac:dyDescent="0.3">
      <c r="D605" s="54"/>
    </row>
    <row r="606" spans="4:4" ht="14.25" customHeight="1" x14ac:dyDescent="0.3">
      <c r="D606" s="54"/>
    </row>
    <row r="607" spans="4:4" ht="14.25" customHeight="1" x14ac:dyDescent="0.3">
      <c r="D607" s="54"/>
    </row>
    <row r="608" spans="4:4" ht="14.25" customHeight="1" x14ac:dyDescent="0.3">
      <c r="D608" s="54"/>
    </row>
    <row r="609" spans="4:4" ht="14.25" customHeight="1" x14ac:dyDescent="0.3">
      <c r="D609" s="54"/>
    </row>
    <row r="610" spans="4:4" ht="14.25" customHeight="1" x14ac:dyDescent="0.3">
      <c r="D610" s="54"/>
    </row>
    <row r="611" spans="4:4" ht="14.25" customHeight="1" x14ac:dyDescent="0.3">
      <c r="D611" s="54"/>
    </row>
    <row r="612" spans="4:4" ht="14.25" customHeight="1" x14ac:dyDescent="0.3">
      <c r="D612" s="54"/>
    </row>
    <row r="613" spans="4:4" ht="14.25" customHeight="1" x14ac:dyDescent="0.3">
      <c r="D613" s="54"/>
    </row>
    <row r="614" spans="4:4" ht="14.25" customHeight="1" x14ac:dyDescent="0.3">
      <c r="D614" s="54"/>
    </row>
    <row r="615" spans="4:4" ht="14.25" customHeight="1" x14ac:dyDescent="0.3">
      <c r="D615" s="54"/>
    </row>
    <row r="616" spans="4:4" ht="14.25" customHeight="1" x14ac:dyDescent="0.3">
      <c r="D616" s="54"/>
    </row>
    <row r="617" spans="4:4" ht="14.25" customHeight="1" x14ac:dyDescent="0.3">
      <c r="D617" s="54"/>
    </row>
    <row r="618" spans="4:4" ht="14.25" customHeight="1" x14ac:dyDescent="0.3">
      <c r="D618" s="54"/>
    </row>
    <row r="619" spans="4:4" ht="14.25" customHeight="1" x14ac:dyDescent="0.3">
      <c r="D619" s="54"/>
    </row>
    <row r="620" spans="4:4" ht="14.25" customHeight="1" x14ac:dyDescent="0.3">
      <c r="D620" s="54"/>
    </row>
    <row r="621" spans="4:4" ht="14.25" customHeight="1" x14ac:dyDescent="0.3">
      <c r="D621" s="54"/>
    </row>
    <row r="622" spans="4:4" ht="14.25" customHeight="1" x14ac:dyDescent="0.3">
      <c r="D622" s="54"/>
    </row>
    <row r="623" spans="4:4" ht="14.25" customHeight="1" x14ac:dyDescent="0.3">
      <c r="D623" s="54"/>
    </row>
    <row r="624" spans="4:4" ht="14.25" customHeight="1" x14ac:dyDescent="0.3">
      <c r="D624" s="54"/>
    </row>
    <row r="625" spans="4:4" ht="14.25" customHeight="1" x14ac:dyDescent="0.3">
      <c r="D625" s="54"/>
    </row>
    <row r="626" spans="4:4" ht="14.25" customHeight="1" x14ac:dyDescent="0.3">
      <c r="D626" s="54"/>
    </row>
    <row r="627" spans="4:4" ht="14.25" customHeight="1" x14ac:dyDescent="0.3">
      <c r="D627" s="54"/>
    </row>
    <row r="628" spans="4:4" ht="14.25" customHeight="1" x14ac:dyDescent="0.3">
      <c r="D628" s="54"/>
    </row>
    <row r="629" spans="4:4" ht="14.25" customHeight="1" x14ac:dyDescent="0.3">
      <c r="D629" s="54"/>
    </row>
    <row r="630" spans="4:4" ht="14.25" customHeight="1" x14ac:dyDescent="0.3">
      <c r="D630" s="54"/>
    </row>
    <row r="631" spans="4:4" ht="14.25" customHeight="1" x14ac:dyDescent="0.3">
      <c r="D631" s="54"/>
    </row>
    <row r="632" spans="4:4" ht="14.25" customHeight="1" x14ac:dyDescent="0.3">
      <c r="D632" s="54"/>
    </row>
    <row r="633" spans="4:4" ht="14.25" customHeight="1" x14ac:dyDescent="0.3">
      <c r="D633" s="54"/>
    </row>
    <row r="634" spans="4:4" ht="14.25" customHeight="1" x14ac:dyDescent="0.3">
      <c r="D634" s="54"/>
    </row>
    <row r="635" spans="4:4" ht="14.25" customHeight="1" x14ac:dyDescent="0.3">
      <c r="D635" s="54"/>
    </row>
    <row r="636" spans="4:4" ht="14.25" customHeight="1" x14ac:dyDescent="0.3">
      <c r="D636" s="54"/>
    </row>
    <row r="637" spans="4:4" ht="14.25" customHeight="1" x14ac:dyDescent="0.3">
      <c r="D637" s="54"/>
    </row>
    <row r="638" spans="4:4" ht="14.25" customHeight="1" x14ac:dyDescent="0.3">
      <c r="D638" s="54"/>
    </row>
    <row r="639" spans="4:4" ht="14.25" customHeight="1" x14ac:dyDescent="0.3">
      <c r="D639" s="54"/>
    </row>
    <row r="640" spans="4:4" ht="14.25" customHeight="1" x14ac:dyDescent="0.3">
      <c r="D640" s="54"/>
    </row>
    <row r="641" spans="4:4" ht="14.25" customHeight="1" x14ac:dyDescent="0.3">
      <c r="D641" s="54"/>
    </row>
    <row r="642" spans="4:4" ht="14.25" customHeight="1" x14ac:dyDescent="0.3">
      <c r="D642" s="54"/>
    </row>
    <row r="643" spans="4:4" ht="14.25" customHeight="1" x14ac:dyDescent="0.3">
      <c r="D643" s="54"/>
    </row>
    <row r="644" spans="4:4" ht="14.25" customHeight="1" x14ac:dyDescent="0.3">
      <c r="D644" s="54"/>
    </row>
    <row r="645" spans="4:4" ht="14.25" customHeight="1" x14ac:dyDescent="0.3">
      <c r="D645" s="54"/>
    </row>
    <row r="646" spans="4:4" ht="14.25" customHeight="1" x14ac:dyDescent="0.3">
      <c r="D646" s="54"/>
    </row>
    <row r="647" spans="4:4" ht="14.25" customHeight="1" x14ac:dyDescent="0.3">
      <c r="D647" s="54"/>
    </row>
    <row r="648" spans="4:4" ht="14.25" customHeight="1" x14ac:dyDescent="0.3">
      <c r="D648" s="54"/>
    </row>
    <row r="649" spans="4:4" ht="14.25" customHeight="1" x14ac:dyDescent="0.3">
      <c r="D649" s="54"/>
    </row>
    <row r="650" spans="4:4" ht="14.25" customHeight="1" x14ac:dyDescent="0.3">
      <c r="D650" s="54"/>
    </row>
    <row r="651" spans="4:4" ht="14.25" customHeight="1" x14ac:dyDescent="0.3">
      <c r="D651" s="54"/>
    </row>
    <row r="652" spans="4:4" ht="14.25" customHeight="1" x14ac:dyDescent="0.3">
      <c r="D652" s="54"/>
    </row>
    <row r="653" spans="4:4" ht="14.25" customHeight="1" x14ac:dyDescent="0.3">
      <c r="D653" s="54"/>
    </row>
    <row r="654" spans="4:4" ht="14.25" customHeight="1" x14ac:dyDescent="0.3">
      <c r="D654" s="5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4CA3-849E-4350-A9B0-D1803EF70609}">
  <sheetPr>
    <pageSetUpPr fitToPage="1"/>
  </sheetPr>
  <dimension ref="B1:R54"/>
  <sheetViews>
    <sheetView showGridLines="0" tabSelected="1" topLeftCell="B1" zoomScaleNormal="100" workbookViewId="0">
      <selection activeCell="G15" sqref="G15"/>
    </sheetView>
  </sheetViews>
  <sheetFormatPr baseColWidth="10" defaultColWidth="11.44140625" defaultRowHeight="14.4" x14ac:dyDescent="0.3"/>
  <cols>
    <col min="1" max="1" width="3.5546875" style="1" customWidth="1"/>
    <col min="2" max="2" width="3.6640625" style="1" customWidth="1"/>
    <col min="3" max="3" width="27.33203125" style="1" customWidth="1"/>
    <col min="4" max="4" width="12.6640625" style="1" customWidth="1"/>
    <col min="5" max="5" width="14.6640625" style="1" customWidth="1"/>
    <col min="6" max="6" width="16.44140625" style="1" customWidth="1"/>
    <col min="7" max="7" width="20.33203125" style="1" customWidth="1"/>
    <col min="8" max="8" width="4.5546875" style="1" customWidth="1"/>
    <col min="9" max="9" width="5.109375" style="1" customWidth="1"/>
    <col min="10" max="10" width="37.88671875" style="1" bestFit="1" customWidth="1"/>
    <col min="11" max="11" width="18.88671875" style="1" customWidth="1"/>
    <col min="12" max="12" width="5.88671875" style="1" customWidth="1"/>
    <col min="13" max="13" width="15.6640625" style="1" customWidth="1"/>
    <col min="14" max="14" width="12.6640625" style="1" bestFit="1" customWidth="1"/>
    <col min="15" max="15" width="13.88671875" style="1" bestFit="1" customWidth="1"/>
    <col min="16" max="16" width="8.33203125" style="1" bestFit="1" customWidth="1"/>
    <col min="17" max="17" width="19.5546875" style="1" bestFit="1" customWidth="1"/>
    <col min="18" max="18" width="8.21875" style="1" bestFit="1" customWidth="1"/>
    <col min="19" max="19" width="11.44140625" style="1" customWidth="1"/>
    <col min="20" max="16384" width="11.44140625" style="1"/>
  </cols>
  <sheetData>
    <row r="1" spans="2:13" ht="15" thickBot="1" x14ac:dyDescent="0.35"/>
    <row r="2" spans="2:13" ht="15.6" thickTop="1" thickBot="1" x14ac:dyDescent="0.35">
      <c r="B2" s="2"/>
      <c r="C2" s="3"/>
      <c r="D2" s="3"/>
      <c r="E2" s="3"/>
      <c r="F2" s="3"/>
      <c r="G2" s="3"/>
      <c r="H2" s="4"/>
    </row>
    <row r="3" spans="2:13" ht="25.5" customHeight="1" thickTop="1" thickBot="1" x14ac:dyDescent="0.55000000000000004">
      <c r="B3" s="5"/>
      <c r="C3" s="164" t="s">
        <v>92</v>
      </c>
      <c r="D3" s="164"/>
      <c r="E3" s="164"/>
      <c r="F3" s="164"/>
      <c r="G3" s="164"/>
      <c r="H3" s="6"/>
    </row>
    <row r="4" spans="2:13" ht="15" thickTop="1" x14ac:dyDescent="0.3">
      <c r="B4" s="5"/>
      <c r="C4" s="165" t="s">
        <v>91</v>
      </c>
      <c r="D4" s="165"/>
      <c r="E4" s="165"/>
      <c r="F4" s="165"/>
      <c r="G4" s="165"/>
      <c r="H4" s="6"/>
    </row>
    <row r="5" spans="2:13" ht="16.2" thickBot="1" x14ac:dyDescent="0.35">
      <c r="B5" s="5"/>
      <c r="C5" s="7" t="s">
        <v>2</v>
      </c>
      <c r="D5" s="159">
        <v>850000</v>
      </c>
      <c r="E5" s="160"/>
      <c r="F5" s="160"/>
      <c r="G5" s="161"/>
      <c r="H5" s="6"/>
    </row>
    <row r="6" spans="2:13" ht="16.2" thickBot="1" x14ac:dyDescent="0.35">
      <c r="B6" s="5"/>
      <c r="C6"/>
      <c r="D6" s="8"/>
      <c r="E6" s="9">
        <f>+'DATOS PARAMETROS'!B5</f>
        <v>69889</v>
      </c>
      <c r="F6" s="10" t="s">
        <v>4</v>
      </c>
      <c r="G6" s="11">
        <f>+'DATOS PARAMETROS'!B4</f>
        <v>40120.199999999997</v>
      </c>
      <c r="H6" s="6"/>
    </row>
    <row r="7" spans="2:13" ht="18.600000000000001" thickBot="1" x14ac:dyDescent="0.4">
      <c r="B7" s="5"/>
      <c r="C7" s="12" t="s">
        <v>5</v>
      </c>
      <c r="D7" s="12"/>
      <c r="E7" s="12"/>
      <c r="F7" s="12"/>
      <c r="G7" s="130">
        <f>+J26</f>
        <v>552459.41361764004</v>
      </c>
      <c r="H7" s="6"/>
      <c r="I7" s="13"/>
      <c r="J7" s="14" t="s">
        <v>6</v>
      </c>
      <c r="K7" s="15"/>
    </row>
    <row r="8" spans="2:13" x14ac:dyDescent="0.3">
      <c r="B8" s="5"/>
      <c r="C8"/>
      <c r="D8"/>
      <c r="E8"/>
      <c r="F8" s="16"/>
      <c r="G8" s="17"/>
      <c r="H8" s="6"/>
      <c r="J8" s="18">
        <f>+'DATOS PARAMETROS'!B13</f>
        <v>853417</v>
      </c>
      <c r="K8" s="15" t="s">
        <v>7</v>
      </c>
    </row>
    <row r="9" spans="2:13" x14ac:dyDescent="0.3">
      <c r="B9" s="5"/>
      <c r="C9" s="12" t="s">
        <v>8</v>
      </c>
      <c r="D9" s="12"/>
      <c r="E9" s="12"/>
      <c r="F9" s="12"/>
      <c r="G9" s="19"/>
      <c r="H9" s="6"/>
      <c r="J9" s="20">
        <f>+'DATOS PARAMETROS'!B12</f>
        <v>213354.16666666666</v>
      </c>
      <c r="K9" s="21" t="s">
        <v>9</v>
      </c>
    </row>
    <row r="10" spans="2:13" x14ac:dyDescent="0.3">
      <c r="B10" s="5"/>
      <c r="C10" s="22" t="s">
        <v>10</v>
      </c>
      <c r="D10" s="117" t="s">
        <v>11</v>
      </c>
      <c r="E10" s="23" t="str">
        <f>IF(C10="MENSUAL",0.25,"")</f>
        <v/>
      </c>
      <c r="F10" s="23">
        <f>IF(D10="MENSUAL",0.25,"")</f>
        <v>0.25</v>
      </c>
      <c r="G10" s="131">
        <f>IF(F10=0.25,IF((G7+G9)*25%&gt;(4.75*'DATOS PARAMETROS'!B6/12),4.75*'DATOS PARAMETROS'!B6/12,(G7+G9)*0.25),"0")</f>
        <v>138114.85340441001</v>
      </c>
      <c r="H10" s="6"/>
      <c r="I10" s="25"/>
      <c r="J10" s="26" t="str">
        <f>+D10</f>
        <v>MENSUAL</v>
      </c>
      <c r="K10" s="21" t="s">
        <v>12</v>
      </c>
      <c r="L10" s="27"/>
      <c r="M10" s="28"/>
    </row>
    <row r="11" spans="2:13" x14ac:dyDescent="0.3">
      <c r="B11" s="5"/>
      <c r="C11"/>
      <c r="D11"/>
      <c r="E11"/>
      <c r="F11"/>
      <c r="G11"/>
      <c r="H11" s="6"/>
      <c r="J11" s="20">
        <f>(J22*0.25)/1.25</f>
        <v>138114.85340441001</v>
      </c>
      <c r="K11" s="21" t="s">
        <v>13</v>
      </c>
      <c r="L11" s="27"/>
    </row>
    <row r="12" spans="2:13" ht="15" thickBot="1" x14ac:dyDescent="0.35">
      <c r="B12" s="5"/>
      <c r="C12" s="29" t="s">
        <v>14</v>
      </c>
      <c r="D12" s="29"/>
      <c r="E12" s="29"/>
      <c r="F12" s="29"/>
      <c r="G12" s="30">
        <f>+G7+G10+G9</f>
        <v>690574.26702204999</v>
      </c>
      <c r="H12" s="6"/>
      <c r="I12" s="31"/>
      <c r="J12" s="20">
        <f>+'DATOS PARAMETROS'!B4*'DATOS PARAMETROS'!B7</f>
        <v>3610817.9999999995</v>
      </c>
      <c r="K12" s="21" t="s">
        <v>15</v>
      </c>
      <c r="L12" s="27"/>
    </row>
    <row r="13" spans="2:13" x14ac:dyDescent="0.3">
      <c r="B13" s="5"/>
      <c r="C13" s="32"/>
      <c r="D13" s="32"/>
      <c r="E13" s="32"/>
      <c r="F13" s="32"/>
      <c r="G13" s="33"/>
      <c r="H13" s="6"/>
      <c r="I13" s="31"/>
      <c r="J13" s="20">
        <f>+'DATOS PARAMETROS'!B4*'DATOS PARAMETROS'!B8</f>
        <v>5424251.0399999991</v>
      </c>
      <c r="K13" s="21" t="s">
        <v>16</v>
      </c>
      <c r="L13" s="27"/>
    </row>
    <row r="14" spans="2:13" x14ac:dyDescent="0.3">
      <c r="B14" s="5"/>
      <c r="C14" s="12" t="s">
        <v>0</v>
      </c>
      <c r="D14" s="34"/>
      <c r="E14" s="34"/>
      <c r="F14" s="34"/>
      <c r="G14" s="19">
        <v>140000</v>
      </c>
      <c r="H14" s="6"/>
      <c r="J14" s="20">
        <f>((F22+F23)/100)*J12</f>
        <v>630448.82279999997</v>
      </c>
      <c r="K14" s="133" t="s">
        <v>17</v>
      </c>
      <c r="L14" s="27" t="s">
        <v>96</v>
      </c>
    </row>
    <row r="15" spans="2:13" x14ac:dyDescent="0.3">
      <c r="B15" s="5"/>
      <c r="C15" s="22" t="s">
        <v>18</v>
      </c>
      <c r="D15" s="35"/>
      <c r="E15" s="35"/>
      <c r="F15" s="35"/>
      <c r="G15" s="119">
        <v>140000</v>
      </c>
      <c r="H15" s="6"/>
      <c r="J15" s="36">
        <f>+J20+J14</f>
        <v>1200448.8228</v>
      </c>
      <c r="K15" s="21" t="s">
        <v>19</v>
      </c>
      <c r="L15" s="27"/>
    </row>
    <row r="16" spans="2:13" x14ac:dyDescent="0.3">
      <c r="B16" s="5"/>
      <c r="C16" s="118" t="s">
        <v>20</v>
      </c>
      <c r="D16" s="37"/>
      <c r="E16" s="35"/>
      <c r="F16" s="35"/>
      <c r="G16" s="119"/>
      <c r="H16" s="6"/>
      <c r="J16" s="20" t="str">
        <f>IF(J15&gt;J12,"SI","NO")</f>
        <v>NO</v>
      </c>
      <c r="K16" s="133" t="s">
        <v>21</v>
      </c>
      <c r="L16" s="27"/>
    </row>
    <row r="17" spans="2:18" s="28" customFormat="1" x14ac:dyDescent="0.3">
      <c r="B17" s="38"/>
      <c r="C17" s="118" t="s">
        <v>20</v>
      </c>
      <c r="D17" s="37"/>
      <c r="E17" s="35"/>
      <c r="F17" s="35"/>
      <c r="G17" s="119"/>
      <c r="H17" s="6"/>
      <c r="J17" s="39">
        <f>+D5</f>
        <v>850000</v>
      </c>
      <c r="K17" s="40" t="s">
        <v>2</v>
      </c>
    </row>
    <row r="18" spans="2:18" x14ac:dyDescent="0.3">
      <c r="B18" s="5"/>
      <c r="C18" s="32"/>
      <c r="D18" s="32"/>
      <c r="E18" s="32"/>
      <c r="F18" s="32"/>
      <c r="G18" s="33"/>
      <c r="H18" s="6"/>
      <c r="J18" s="39">
        <f>G19</f>
        <v>280000</v>
      </c>
      <c r="K18" s="40" t="s">
        <v>22</v>
      </c>
      <c r="M18" s="28"/>
    </row>
    <row r="19" spans="2:18" ht="15" thickBot="1" x14ac:dyDescent="0.35">
      <c r="B19" s="5"/>
      <c r="C19" s="29" t="s">
        <v>23</v>
      </c>
      <c r="D19" s="29"/>
      <c r="E19" s="29"/>
      <c r="F19" s="29"/>
      <c r="G19" s="41">
        <f>SUM(G14:G17)</f>
        <v>280000</v>
      </c>
      <c r="H19" s="6"/>
      <c r="J19" s="39">
        <f>+G9</f>
        <v>0</v>
      </c>
      <c r="K19" s="134" t="s">
        <v>24</v>
      </c>
      <c r="M19" s="42" t="s">
        <v>25</v>
      </c>
      <c r="N19" s="42"/>
      <c r="O19" s="42"/>
      <c r="P19" s="42"/>
      <c r="Q19" s="43"/>
      <c r="R19" s="44"/>
    </row>
    <row r="20" spans="2:18" ht="15.6" x14ac:dyDescent="0.3">
      <c r="B20" s="5"/>
      <c r="C20" s="162" t="str">
        <f>IF(AND(C23="FONASA",D26&gt;0),"ATENCION NO PUEDE TENER PLAN ISAPRE CON FONASA","")</f>
        <v/>
      </c>
      <c r="D20" s="162"/>
      <c r="E20" s="162"/>
      <c r="F20" s="162"/>
      <c r="G20" s="33"/>
      <c r="H20" s="6"/>
      <c r="I20" s="45"/>
      <c r="J20" s="46">
        <f>+J17-J18</f>
        <v>570000</v>
      </c>
      <c r="K20" s="134" t="s">
        <v>26</v>
      </c>
      <c r="M20" s="47" t="s">
        <v>27</v>
      </c>
      <c r="N20" s="48" t="s">
        <v>28</v>
      </c>
      <c r="O20" s="49" t="s">
        <v>3</v>
      </c>
      <c r="P20" s="43"/>
      <c r="Q20" s="43"/>
      <c r="R20" s="44"/>
    </row>
    <row r="21" spans="2:18" ht="15" thickBot="1" x14ac:dyDescent="0.35">
      <c r="B21" s="5"/>
      <c r="C21" s="12" t="s">
        <v>29</v>
      </c>
      <c r="D21" s="12"/>
      <c r="E21" s="12"/>
      <c r="F21" s="12"/>
      <c r="G21" s="50">
        <f>+J27</f>
        <v>570000</v>
      </c>
      <c r="H21" s="6"/>
      <c r="I21" s="27"/>
      <c r="J21" s="51">
        <f>100-(F22+F23+F24)</f>
        <v>82.539999999999992</v>
      </c>
      <c r="K21" s="40" t="s">
        <v>30</v>
      </c>
      <c r="M21" s="52">
        <f>+G21</f>
        <v>570000</v>
      </c>
      <c r="N21" s="53">
        <f>IF(AND($M$21&gt;=N24,$M$21&lt;=O24),R24,IF(AND($M$21&gt;N25,$M$21&lt;=O25),R25,IF(AND($M$21&gt;N26,M21&lt;=O26),R26,IF(AND(M21&gt;N27,M21&lt;=O27),R27,IF(IF(M21&gt;N28,M21&lt;=O28),R28,IF(AND(M21&gt;N29,M21&lt;=O29),R29,IF(AND(M21&gt;N30,M21&lt;=O30),R30,R31)))))))</f>
        <v>0</v>
      </c>
      <c r="O21" s="53">
        <f>+E6</f>
        <v>69889</v>
      </c>
      <c r="P21" s="44"/>
      <c r="Q21" s="44"/>
      <c r="R21" s="44"/>
    </row>
    <row r="22" spans="2:18" ht="15" thickBot="1" x14ac:dyDescent="0.35">
      <c r="B22" s="5"/>
      <c r="C22" s="120" t="s">
        <v>75</v>
      </c>
      <c r="D22" s="163" t="s">
        <v>32</v>
      </c>
      <c r="E22" s="163"/>
      <c r="F22" s="54">
        <f>VLOOKUP(C22,'DATOS PARAMETROS'!E5:I11,5,0)</f>
        <v>10.46</v>
      </c>
      <c r="G22" s="55">
        <f>IF(G12&lt;=J12,(F22/100)*-G12,(F22/100)*-J12)</f>
        <v>-72234.06833050643</v>
      </c>
      <c r="H22" s="6"/>
      <c r="I22" s="27"/>
      <c r="J22" s="39">
        <f>IF((J20*100)/J21&lt;=J12,(J20*100)/J21,(J12*100)/J21)</f>
        <v>690574.26702204999</v>
      </c>
      <c r="K22" s="134" t="s">
        <v>33</v>
      </c>
      <c r="M22" s="44"/>
      <c r="N22" s="44"/>
      <c r="O22" s="44"/>
      <c r="P22" s="44"/>
      <c r="Q22" s="44"/>
      <c r="R22" s="44"/>
    </row>
    <row r="23" spans="2:18" x14ac:dyDescent="0.3">
      <c r="B23" s="5"/>
      <c r="C23" s="120" t="s">
        <v>34</v>
      </c>
      <c r="D23" s="56" t="s">
        <v>32</v>
      </c>
      <c r="E23" s="57"/>
      <c r="F23" s="54">
        <v>7</v>
      </c>
      <c r="G23" s="55">
        <f>IF(G12&lt;=J12,(F23/100)*-G12,(F23/100)*-J12)</f>
        <v>-48340.198691543505</v>
      </c>
      <c r="H23" s="6"/>
      <c r="I23" s="27"/>
      <c r="J23" s="39">
        <f>+D26*'DATOS PARAMETROS'!B4</f>
        <v>0</v>
      </c>
      <c r="K23" s="40" t="s">
        <v>35</v>
      </c>
      <c r="M23" s="58" t="s">
        <v>36</v>
      </c>
      <c r="N23" s="59" t="s">
        <v>37</v>
      </c>
      <c r="O23" s="59" t="s">
        <v>1</v>
      </c>
      <c r="P23" s="59" t="s">
        <v>38</v>
      </c>
      <c r="Q23" s="59" t="s">
        <v>39</v>
      </c>
      <c r="R23" s="60" t="s">
        <v>40</v>
      </c>
    </row>
    <row r="24" spans="2:18" x14ac:dyDescent="0.3">
      <c r="B24" s="5"/>
      <c r="C24" t="s">
        <v>41</v>
      </c>
      <c r="E24" s="120" t="s">
        <v>42</v>
      </c>
      <c r="F24" s="61" t="str">
        <f>IF(E24="INDEFINIDO",0.6,"0")</f>
        <v>0</v>
      </c>
      <c r="G24" s="55">
        <f>IF(G12&lt;=J13,(F24/100)*-G12,(F24/100)*-J13)</f>
        <v>0</v>
      </c>
      <c r="H24" s="6"/>
      <c r="J24" s="39">
        <f>+G23*-1</f>
        <v>48340.198691543505</v>
      </c>
      <c r="K24" s="40" t="s">
        <v>43</v>
      </c>
      <c r="M24" s="62">
        <f>+M21*P24</f>
        <v>0</v>
      </c>
      <c r="N24" s="63">
        <v>0</v>
      </c>
      <c r="O24" s="63">
        <f>13.5*O21</f>
        <v>943501.5</v>
      </c>
      <c r="P24" s="64">
        <v>0</v>
      </c>
      <c r="Q24" s="65">
        <v>0</v>
      </c>
      <c r="R24" s="66">
        <f>(M21*P24)-Q24</f>
        <v>0</v>
      </c>
    </row>
    <row r="25" spans="2:18" x14ac:dyDescent="0.3">
      <c r="B25" s="5"/>
      <c r="C25" t="s">
        <v>44</v>
      </c>
      <c r="D25"/>
      <c r="E25"/>
      <c r="F25"/>
      <c r="G25"/>
      <c r="H25" s="6"/>
      <c r="I25" s="31"/>
      <c r="J25" s="39">
        <f>IF(D10="MENSUAL",IF(J11&lt;=J9,J11,J9),0)</f>
        <v>138114.85340441001</v>
      </c>
      <c r="K25" s="134" t="s">
        <v>45</v>
      </c>
      <c r="L25" s="28"/>
      <c r="M25" s="67">
        <f>+(M21*P25)-Q25</f>
        <v>-14940.060000000005</v>
      </c>
      <c r="N25" s="68">
        <f t="shared" ref="N25:N31" si="0">+O24</f>
        <v>943501.5</v>
      </c>
      <c r="O25" s="68">
        <f>30*O21</f>
        <v>2096670</v>
      </c>
      <c r="P25" s="69">
        <v>0.04</v>
      </c>
      <c r="Q25" s="70">
        <f>0.54*O21</f>
        <v>37740.060000000005</v>
      </c>
      <c r="R25" s="71" t="str">
        <f t="shared" ref="R25:R31" si="1">IF(M25&lt;=0,"0",M25)</f>
        <v>0</v>
      </c>
    </row>
    <row r="26" spans="2:18" ht="15" thickBot="1" x14ac:dyDescent="0.35">
      <c r="B26" s="5"/>
      <c r="C26" t="s">
        <v>46</v>
      </c>
      <c r="D26" s="154"/>
      <c r="E26"/>
      <c r="F26" s="72" t="s">
        <v>47</v>
      </c>
      <c r="G26" s="73">
        <f>IF(OR(C35=1,C35=2),J29,0)</f>
        <v>0</v>
      </c>
      <c r="H26" s="6"/>
      <c r="I26" s="31"/>
      <c r="J26" s="74">
        <f>IF(J16="SI",J20+J14-J19-J25,(J22-J25-J19))</f>
        <v>552459.41361764004</v>
      </c>
      <c r="K26" s="75" t="s">
        <v>5</v>
      </c>
      <c r="L26" s="28"/>
      <c r="M26" s="67">
        <f>+(M21*P26)-Q26</f>
        <v>-76006.86</v>
      </c>
      <c r="N26" s="68">
        <f t="shared" si="0"/>
        <v>2096670</v>
      </c>
      <c r="O26" s="68">
        <f>50*O21</f>
        <v>3494450</v>
      </c>
      <c r="P26" s="69">
        <v>0.08</v>
      </c>
      <c r="Q26" s="70">
        <f>1.74*O21</f>
        <v>121606.86</v>
      </c>
      <c r="R26" s="71" t="str">
        <f t="shared" si="1"/>
        <v>0</v>
      </c>
    </row>
    <row r="27" spans="2:18" x14ac:dyDescent="0.3">
      <c r="B27" s="5"/>
      <c r="C27" t="s">
        <v>48</v>
      </c>
      <c r="D27" s="61"/>
      <c r="E27" s="61"/>
      <c r="F27" s="61"/>
      <c r="G27" s="73">
        <f>IF(OR(OR(C35=1,C35=2)),J30,0)</f>
        <v>0</v>
      </c>
      <c r="H27" s="6"/>
      <c r="J27" s="76">
        <f>+G12+G22+G23+G24+J29+J28</f>
        <v>570000</v>
      </c>
      <c r="K27" s="77" t="s">
        <v>49</v>
      </c>
      <c r="M27" s="67">
        <f>+(M21*P27)-Q27</f>
        <v>-236851.61</v>
      </c>
      <c r="N27" s="68">
        <f t="shared" si="0"/>
        <v>3494450</v>
      </c>
      <c r="O27" s="68">
        <f>70*O21</f>
        <v>4892230</v>
      </c>
      <c r="P27" s="78">
        <v>0.13500000000000001</v>
      </c>
      <c r="Q27" s="70">
        <f>4.49*O21</f>
        <v>313801.61</v>
      </c>
      <c r="R27" s="71" t="str">
        <f t="shared" si="1"/>
        <v>0</v>
      </c>
    </row>
    <row r="28" spans="2:18" ht="15" thickBot="1" x14ac:dyDescent="0.35">
      <c r="B28" s="5"/>
      <c r="C28" s="29" t="s">
        <v>50</v>
      </c>
      <c r="D28" s="29"/>
      <c r="E28" s="29"/>
      <c r="F28" s="29"/>
      <c r="G28" s="79">
        <f>SUM(G22:G23)+G24+G26+G27</f>
        <v>-120574.26702204993</v>
      </c>
      <c r="H28" s="6"/>
      <c r="I28" s="45"/>
      <c r="J28" s="80">
        <f>IF(IF(D26&gt;0,(J23-(('DATOS PARAMETROS'!B7*7%)*G6)),0)&lt;0,0,IF(D26&gt;0,(J23-(('DATOS PARAMETROS'!B7*7%)*G6)),0))</f>
        <v>0</v>
      </c>
      <c r="K28" s="81" t="s">
        <v>51</v>
      </c>
      <c r="M28" s="67">
        <f>+(M21*P28)-Q28</f>
        <v>-647463.46000000008</v>
      </c>
      <c r="N28" s="68">
        <f t="shared" si="0"/>
        <v>4892230</v>
      </c>
      <c r="O28" s="68">
        <f>90*O21</f>
        <v>6290010</v>
      </c>
      <c r="P28" s="69">
        <v>0.23</v>
      </c>
      <c r="Q28" s="70">
        <f>11.14*O21</f>
        <v>778563.46000000008</v>
      </c>
      <c r="R28" s="71" t="str">
        <f t="shared" si="1"/>
        <v>0</v>
      </c>
    </row>
    <row r="29" spans="2:18" x14ac:dyDescent="0.3">
      <c r="B29" s="5"/>
      <c r="C29" t="s">
        <v>94</v>
      </c>
      <c r="D29"/>
      <c r="E29"/>
      <c r="F29"/>
      <c r="G29" s="73">
        <f>IF(C35=1,(J29+J30)*-1,0)</f>
        <v>0</v>
      </c>
      <c r="H29" s="6"/>
      <c r="J29" s="82">
        <f>IF(J23&gt;J24,J23-J24,0)*-1</f>
        <v>0</v>
      </c>
      <c r="K29" s="77" t="s">
        <v>47</v>
      </c>
      <c r="M29" s="67">
        <f>+(M21*P29)-Q29</f>
        <v>-1070744.2</v>
      </c>
      <c r="N29" s="68">
        <f t="shared" si="0"/>
        <v>6290010</v>
      </c>
      <c r="O29" s="68">
        <f>120*O21</f>
        <v>8386680</v>
      </c>
      <c r="P29" s="78">
        <v>0.30399999999999999</v>
      </c>
      <c r="Q29" s="70">
        <f>17.8*O21</f>
        <v>1244024.2</v>
      </c>
      <c r="R29" s="71" t="str">
        <f t="shared" si="1"/>
        <v>0</v>
      </c>
    </row>
    <row r="30" spans="2:18" ht="15" thickBot="1" x14ac:dyDescent="0.35">
      <c r="B30" s="5"/>
      <c r="C30" s="29" t="s">
        <v>53</v>
      </c>
      <c r="D30" s="29"/>
      <c r="E30" s="29"/>
      <c r="F30" s="29"/>
      <c r="G30" s="79">
        <f>+G12+G19+G22+G23+G24+G26+G27+G29</f>
        <v>850000</v>
      </c>
      <c r="H30" s="83"/>
      <c r="J30" s="84">
        <f>+N21*-1</f>
        <v>0</v>
      </c>
      <c r="K30" s="85" t="s">
        <v>54</v>
      </c>
      <c r="M30" s="67">
        <f>+(M21*P30)-Q30</f>
        <v>-1430311.48</v>
      </c>
      <c r="N30" s="68">
        <f t="shared" si="0"/>
        <v>8386680</v>
      </c>
      <c r="O30" s="68">
        <f>150*O21</f>
        <v>10483350</v>
      </c>
      <c r="P30" s="69">
        <v>0.35</v>
      </c>
      <c r="Q30" s="70">
        <f>23.32*O21</f>
        <v>1629811.48</v>
      </c>
      <c r="R30" s="71" t="str">
        <f t="shared" si="1"/>
        <v>0</v>
      </c>
    </row>
    <row r="31" spans="2:18" ht="15" thickBot="1" x14ac:dyDescent="0.35">
      <c r="B31" s="5"/>
      <c r="C31" t="str">
        <f>IF(C35=2,"CARGO A CUENTA DEL TRABAJADOR","DEVOLUCION AFC")</f>
        <v>CARGO A CUENTA DEL TRABAJADOR</v>
      </c>
      <c r="D31"/>
      <c r="E31"/>
      <c r="F31" s="135"/>
      <c r="G31" s="86">
        <f>+J32</f>
        <v>0</v>
      </c>
      <c r="H31" s="83"/>
      <c r="J31" s="82">
        <f>+G24</f>
        <v>0</v>
      </c>
      <c r="K31" s="77" t="s">
        <v>95</v>
      </c>
      <c r="M31" s="87">
        <f>+(M21*P31)-Q31</f>
        <v>-1925978.98</v>
      </c>
      <c r="N31" s="88">
        <f t="shared" si="0"/>
        <v>10483350</v>
      </c>
      <c r="O31" s="89">
        <v>999999999.99000001</v>
      </c>
      <c r="P31" s="90">
        <v>0.4</v>
      </c>
      <c r="Q31" s="90">
        <f>30.82*O21</f>
        <v>2153978.98</v>
      </c>
      <c r="R31" s="91" t="str">
        <f t="shared" si="1"/>
        <v>0</v>
      </c>
    </row>
    <row r="32" spans="2:18" ht="15" thickBot="1" x14ac:dyDescent="0.35">
      <c r="B32" s="5"/>
      <c r="C32"/>
      <c r="D32"/>
      <c r="E32"/>
      <c r="F32"/>
      <c r="G32" s="86"/>
      <c r="H32" s="6"/>
      <c r="J32" s="136">
        <f>+D5-G30</f>
        <v>0</v>
      </c>
      <c r="K32" s="85" t="s">
        <v>97</v>
      </c>
    </row>
    <row r="33" spans="2:11" ht="15" thickBot="1" x14ac:dyDescent="0.35">
      <c r="B33" s="5"/>
      <c r="C33" s="29" t="s">
        <v>55</v>
      </c>
      <c r="D33" s="29"/>
      <c r="E33" s="29"/>
      <c r="F33" s="29"/>
      <c r="G33" s="79">
        <f>+G30+G31</f>
        <v>850000</v>
      </c>
      <c r="H33" s="6"/>
      <c r="J33" s="25">
        <f>G12*'DATOS PARAMETROS'!G5</f>
        <v>11187.303125757209</v>
      </c>
      <c r="K33" s="1" t="s">
        <v>64</v>
      </c>
    </row>
    <row r="34" spans="2:11" ht="15" thickBot="1" x14ac:dyDescent="0.35">
      <c r="B34" s="5"/>
      <c r="C34" s="29"/>
      <c r="D34" s="29"/>
      <c r="E34" s="29"/>
      <c r="F34" s="29"/>
      <c r="G34" s="92">
        <f>+F31+G33</f>
        <v>850000</v>
      </c>
      <c r="H34" s="6"/>
      <c r="J34" s="45">
        <f>G12*3%</f>
        <v>20717.2280106615</v>
      </c>
      <c r="K34" s="25" t="s">
        <v>98</v>
      </c>
    </row>
    <row r="35" spans="2:11" ht="3" customHeight="1" x14ac:dyDescent="0.3">
      <c r="B35" s="5"/>
      <c r="C35" s="121">
        <v>2</v>
      </c>
      <c r="D35"/>
      <c r="E35"/>
      <c r="F35"/>
      <c r="G35"/>
      <c r="H35" s="6"/>
      <c r="J35" s="93"/>
      <c r="K35" s="25"/>
    </row>
    <row r="36" spans="2:11" ht="15" thickBot="1" x14ac:dyDescent="0.35">
      <c r="B36" s="94"/>
      <c r="C36" s="95"/>
      <c r="D36" s="95"/>
      <c r="E36" s="95"/>
      <c r="F36" s="95"/>
      <c r="G36" s="95"/>
      <c r="H36" s="96"/>
      <c r="J36" s="93">
        <f>G12*3.48%</f>
        <v>24031.984492367337</v>
      </c>
      <c r="K36" s="31" t="s">
        <v>99</v>
      </c>
    </row>
    <row r="37" spans="2:11" ht="15" thickTop="1" x14ac:dyDescent="0.3">
      <c r="J37" s="13">
        <f>G12*1%</f>
        <v>6905.7426702205003</v>
      </c>
      <c r="K37" s="1" t="s">
        <v>143</v>
      </c>
    </row>
    <row r="38" spans="2:11" x14ac:dyDescent="0.3">
      <c r="D38" s="156" t="s">
        <v>108</v>
      </c>
      <c r="E38" s="157"/>
      <c r="F38" s="158"/>
    </row>
    <row r="39" spans="2:11" x14ac:dyDescent="0.3">
      <c r="D39" s="98"/>
      <c r="E39" s="98"/>
      <c r="F39" s="98"/>
    </row>
    <row r="40" spans="2:11" x14ac:dyDescent="0.3">
      <c r="D40" s="137" t="s">
        <v>53</v>
      </c>
      <c r="E40" s="138"/>
      <c r="F40" s="138">
        <f>G33</f>
        <v>850000</v>
      </c>
    </row>
    <row r="41" spans="2:11" x14ac:dyDescent="0.3">
      <c r="D41" s="98"/>
      <c r="E41" s="98"/>
      <c r="F41" s="98"/>
    </row>
    <row r="42" spans="2:11" x14ac:dyDescent="0.3">
      <c r="D42" s="98" t="s">
        <v>145</v>
      </c>
      <c r="E42" s="139" t="s">
        <v>100</v>
      </c>
      <c r="F42" s="153">
        <f>-G23</f>
        <v>48340.198691543505</v>
      </c>
    </row>
    <row r="43" spans="2:11" x14ac:dyDescent="0.3">
      <c r="D43" s="98"/>
      <c r="E43" s="98" t="s">
        <v>62</v>
      </c>
      <c r="F43" s="153">
        <f>-G22</f>
        <v>72234.06833050643</v>
      </c>
    </row>
    <row r="44" spans="2:11" x14ac:dyDescent="0.3">
      <c r="D44" s="98"/>
      <c r="E44" s="98" t="s">
        <v>102</v>
      </c>
      <c r="F44" s="153">
        <f>-G24</f>
        <v>0</v>
      </c>
    </row>
    <row r="45" spans="2:11" x14ac:dyDescent="0.3">
      <c r="D45" s="98"/>
      <c r="E45" s="98" t="s">
        <v>103</v>
      </c>
      <c r="F45" s="153">
        <f>G27*-1</f>
        <v>0</v>
      </c>
    </row>
    <row r="46" spans="2:11" x14ac:dyDescent="0.3">
      <c r="D46" s="137" t="s">
        <v>105</v>
      </c>
      <c r="E46" s="137"/>
      <c r="F46" s="138">
        <f>SUM(F42:F45)</f>
        <v>120574.26702204993</v>
      </c>
    </row>
    <row r="47" spans="2:11" x14ac:dyDescent="0.3">
      <c r="D47" s="98"/>
      <c r="E47" s="98"/>
      <c r="F47" s="153"/>
    </row>
    <row r="48" spans="2:11" x14ac:dyDescent="0.3">
      <c r="D48" s="98" t="s">
        <v>146</v>
      </c>
      <c r="E48" s="98" t="s">
        <v>102</v>
      </c>
      <c r="F48" s="153">
        <f>J34</f>
        <v>20717.2280106615</v>
      </c>
    </row>
    <row r="49" spans="4:6" x14ac:dyDescent="0.3">
      <c r="D49" s="98"/>
      <c r="E49" s="98" t="s">
        <v>64</v>
      </c>
      <c r="F49" s="153">
        <f>J33</f>
        <v>11187.303125757209</v>
      </c>
    </row>
    <row r="50" spans="4:6" x14ac:dyDescent="0.3">
      <c r="D50" s="98"/>
      <c r="E50" s="98" t="s">
        <v>106</v>
      </c>
      <c r="F50" s="153">
        <f>J36</f>
        <v>24031.984492367337</v>
      </c>
    </row>
    <row r="51" spans="4:6" x14ac:dyDescent="0.3">
      <c r="D51" s="98"/>
      <c r="E51" s="98" t="s">
        <v>144</v>
      </c>
      <c r="F51" s="153">
        <f>J37</f>
        <v>6905.7426702205003</v>
      </c>
    </row>
    <row r="52" spans="4:6" x14ac:dyDescent="0.3">
      <c r="D52" s="137" t="s">
        <v>107</v>
      </c>
      <c r="E52" s="137"/>
      <c r="F52" s="138">
        <f>SUM(F48:F51)</f>
        <v>62842.258299006542</v>
      </c>
    </row>
    <row r="53" spans="4:6" x14ac:dyDescent="0.3">
      <c r="D53" s="98"/>
      <c r="E53" s="98"/>
      <c r="F53" s="153"/>
    </row>
    <row r="54" spans="4:6" x14ac:dyDescent="0.3">
      <c r="D54" s="137" t="s">
        <v>142</v>
      </c>
      <c r="E54" s="137"/>
      <c r="F54" s="138">
        <f>SUM(F46+F52)</f>
        <v>183416.52532105648</v>
      </c>
    </row>
  </sheetData>
  <mergeCells count="6">
    <mergeCell ref="D38:F38"/>
    <mergeCell ref="D5:G5"/>
    <mergeCell ref="C20:F20"/>
    <mergeCell ref="D22:E22"/>
    <mergeCell ref="C3:G3"/>
    <mergeCell ref="C4:G4"/>
  </mergeCells>
  <conditionalFormatting sqref="C20:F20">
    <cfRule type="containsText" dxfId="1" priority="1" operator="containsText" text="ATENCION NO PUEDE TENER PLAN ISAPRE CON FONASA">
      <formula>NOT(ISERROR(SEARCH("ATENCION NO PUEDE TENER PLAN ISAPRE CON FONASA",C20)))</formula>
    </cfRule>
  </conditionalFormatting>
  <dataValidations count="1">
    <dataValidation type="whole" allowBlank="1" showInputMessage="1" showErrorMessage="1" errorTitle="VALOR ERRONEO" error="DEBE INTRODUCIR UN NUMERO VALIDO_x000a_" sqref="D5:G5" xr:uid="{4266BACF-AC55-4095-BEBF-50789EFF4027}">
      <formula1>0</formula1>
      <formula2>99999999</formula2>
    </dataValidation>
  </dataValidations>
  <pageMargins left="0.70866141732283472" right="0.70866141732283472" top="0.74803149606299213" bottom="0.74803149606299213" header="0.31496062992125984" footer="0.31496062992125984"/>
  <pageSetup scale="86" orientation="portrait" horizont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4</xdr:col>
                    <xdr:colOff>525780</xdr:colOff>
                    <xdr:row>23</xdr:row>
                    <xdr:rowOff>182880</xdr:rowOff>
                  </from>
                  <to>
                    <xdr:col>4</xdr:col>
                    <xdr:colOff>830580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220980</xdr:colOff>
                    <xdr:row>23</xdr:row>
                    <xdr:rowOff>175260</xdr:rowOff>
                  </from>
                  <to>
                    <xdr:col>6</xdr:col>
                    <xdr:colOff>525780</xdr:colOff>
                    <xdr:row>25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731500A-B107-462F-880D-7C8BA40E1B96}">
          <x14:formula1>
            <xm:f>'DATOS PARAMETROS'!$E$5:$E$11</xm:f>
          </x14:formula1>
          <xm:sqref>C22</xm:sqref>
        </x14:dataValidation>
        <x14:dataValidation type="list" allowBlank="1" showInputMessage="1" showErrorMessage="1" xr:uid="{D3CBFDF5-09C3-491A-987E-EE42B6E39CBC}">
          <x14:formula1>
            <xm:f>'DATOS PARAMETROS'!$L$29:$L$30</xm:f>
          </x14:formula1>
          <xm:sqref>D10</xm:sqref>
        </x14:dataValidation>
        <x14:dataValidation type="list" allowBlank="1" showInputMessage="1" showErrorMessage="1" xr:uid="{7BA9234F-A361-48EA-8B5D-008CC7740324}">
          <x14:formula1>
            <xm:f>'DATOS PARAMETROS'!$L$24:$L$25</xm:f>
          </x14:formula1>
          <xm:sqref>E24</xm:sqref>
        </x14:dataValidation>
        <x14:dataValidation type="list" allowBlank="1" showInputMessage="1" showErrorMessage="1" xr:uid="{1FD70F97-88A9-4C71-B5F2-B448C7C7BB02}">
          <x14:formula1>
            <xm:f>'DATOS PARAMETROS'!$L$33:$L$39</xm:f>
          </x14:formula1>
          <xm:sqref>C23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BB45-6328-410A-A007-EBBF1FF66A9E}">
  <sheetPr>
    <pageSetUpPr fitToPage="1"/>
  </sheetPr>
  <dimension ref="B1:R40"/>
  <sheetViews>
    <sheetView showGridLines="0" topLeftCell="A25" zoomScaleNormal="100" workbookViewId="0">
      <selection activeCell="G27" sqref="G27"/>
    </sheetView>
  </sheetViews>
  <sheetFormatPr baseColWidth="10" defaultColWidth="11.44140625" defaultRowHeight="14.4" x14ac:dyDescent="0.3"/>
  <cols>
    <col min="1" max="1" width="3.5546875" style="1" customWidth="1"/>
    <col min="2" max="2" width="3.6640625" style="1" customWidth="1"/>
    <col min="3" max="3" width="27.33203125" style="1" customWidth="1"/>
    <col min="4" max="4" width="12.6640625" style="1" customWidth="1"/>
    <col min="5" max="5" width="14.6640625" style="1" customWidth="1"/>
    <col min="6" max="6" width="16.44140625" style="1" customWidth="1"/>
    <col min="7" max="7" width="20.33203125" style="1" customWidth="1"/>
    <col min="8" max="8" width="4.5546875" style="1" customWidth="1"/>
    <col min="9" max="9" width="5" style="1" customWidth="1"/>
    <col min="10" max="10" width="13" style="1" customWidth="1"/>
    <col min="11" max="11" width="36.33203125" style="1" customWidth="1"/>
    <col min="12" max="12" width="6" style="1" customWidth="1"/>
    <col min="13" max="14" width="14.5546875" style="1" customWidth="1"/>
    <col min="15" max="15" width="13.44140625" style="1" customWidth="1"/>
    <col min="16" max="16" width="11.44140625" style="1" customWidth="1"/>
    <col min="17" max="17" width="14.88671875" style="1" customWidth="1"/>
    <col min="18" max="20" width="11.44140625" style="1" customWidth="1"/>
    <col min="21" max="16384" width="11.44140625" style="1"/>
  </cols>
  <sheetData>
    <row r="1" spans="2:13" ht="15" thickBot="1" x14ac:dyDescent="0.35"/>
    <row r="2" spans="2:13" ht="15" thickTop="1" x14ac:dyDescent="0.3">
      <c r="B2" s="2"/>
      <c r="C2" s="3"/>
      <c r="D2" s="3"/>
      <c r="E2" s="3"/>
      <c r="F2" s="3"/>
      <c r="G2" s="3"/>
      <c r="H2" s="4"/>
    </row>
    <row r="3" spans="2:13" ht="15" thickBot="1" x14ac:dyDescent="0.35">
      <c r="B3" s="5"/>
      <c r="C3"/>
      <c r="D3"/>
      <c r="E3"/>
      <c r="F3"/>
      <c r="G3"/>
      <c r="H3" s="6"/>
    </row>
    <row r="4" spans="2:13" ht="27" thickTop="1" thickBot="1" x14ac:dyDescent="0.55000000000000004">
      <c r="B4" s="5"/>
      <c r="C4" s="164" t="s">
        <v>88</v>
      </c>
      <c r="D4" s="164"/>
      <c r="E4" s="164"/>
      <c r="F4" s="164"/>
      <c r="G4" s="164"/>
      <c r="H4" s="6"/>
    </row>
    <row r="5" spans="2:13" ht="15.6" thickTop="1" thickBot="1" x14ac:dyDescent="0.35">
      <c r="B5" s="5"/>
      <c r="C5" s="167" t="s">
        <v>93</v>
      </c>
      <c r="D5" s="167"/>
      <c r="E5" s="167"/>
      <c r="F5" s="167"/>
      <c r="G5" s="167"/>
      <c r="H5" s="6"/>
    </row>
    <row r="6" spans="2:13" ht="16.2" thickBot="1" x14ac:dyDescent="0.35">
      <c r="B6" s="5"/>
      <c r="C6"/>
      <c r="D6" s="8" t="s">
        <v>3</v>
      </c>
      <c r="E6" s="122">
        <f>+'DATOS PARAMETROS'!B5</f>
        <v>69889</v>
      </c>
      <c r="F6" s="10" t="s">
        <v>4</v>
      </c>
      <c r="G6" s="123">
        <f>+'DATOS PARAMETROS'!B4</f>
        <v>40120.199999999997</v>
      </c>
      <c r="H6" s="6"/>
    </row>
    <row r="7" spans="2:13" ht="15" thickBot="1" x14ac:dyDescent="0.35">
      <c r="B7" s="5"/>
      <c r="C7"/>
      <c r="D7"/>
      <c r="E7"/>
      <c r="F7"/>
      <c r="G7" s="124"/>
      <c r="H7" s="6"/>
    </row>
    <row r="8" spans="2:13" ht="18.600000000000001" thickBot="1" x14ac:dyDescent="0.4">
      <c r="B8" s="5"/>
      <c r="C8" s="12" t="s">
        <v>5</v>
      </c>
      <c r="D8" s="12"/>
      <c r="E8" s="12"/>
      <c r="F8" s="12"/>
      <c r="G8" s="132">
        <v>539000</v>
      </c>
      <c r="H8" s="6"/>
      <c r="I8" s="13"/>
      <c r="J8" s="14" t="s">
        <v>6</v>
      </c>
      <c r="K8" s="15"/>
    </row>
    <row r="9" spans="2:13" x14ac:dyDescent="0.3">
      <c r="B9" s="5"/>
      <c r="C9"/>
      <c r="D9"/>
      <c r="E9"/>
      <c r="F9" s="16"/>
      <c r="G9" s="17"/>
      <c r="H9" s="6"/>
      <c r="J9" s="18">
        <f>+'DATOS PARAMETROS'!B13</f>
        <v>853417</v>
      </c>
      <c r="K9" s="15" t="s">
        <v>7</v>
      </c>
    </row>
    <row r="10" spans="2:13" x14ac:dyDescent="0.3">
      <c r="B10" s="5"/>
      <c r="C10" s="12" t="s">
        <v>8</v>
      </c>
      <c r="D10" s="12"/>
      <c r="E10" s="12"/>
      <c r="F10" s="12"/>
      <c r="G10" s="19"/>
      <c r="H10" s="6"/>
      <c r="J10" s="20">
        <f>+'DATOS PARAMETROS'!B12</f>
        <v>213354.16666666666</v>
      </c>
      <c r="K10" s="21" t="s">
        <v>9</v>
      </c>
    </row>
    <row r="11" spans="2:13" x14ac:dyDescent="0.3">
      <c r="B11" s="5"/>
      <c r="C11" s="22" t="s">
        <v>10</v>
      </c>
      <c r="D11" s="125" t="s">
        <v>11</v>
      </c>
      <c r="E11" s="23" t="str">
        <f>IF(C11="MENSUAL",0.25,"")</f>
        <v/>
      </c>
      <c r="F11" s="23">
        <f>IF(D11="MENSUAL",0.25,"")</f>
        <v>0.25</v>
      </c>
      <c r="G11" s="24">
        <f>IF(F11=0.25,IF((G8+G10)*25%&gt;(4.75*'DATOS PARAMETROS'!B6/12),4.75*'DATOS PARAMETROS'!B6/12,(G8+G10)*0.25),"0")</f>
        <v>134750</v>
      </c>
      <c r="H11" s="6"/>
      <c r="I11" s="25"/>
      <c r="J11" s="26" t="str">
        <f>+D11</f>
        <v>MENSUAL</v>
      </c>
      <c r="K11" s="21" t="s">
        <v>12</v>
      </c>
      <c r="L11" s="27"/>
      <c r="M11" s="28"/>
    </row>
    <row r="12" spans="2:13" x14ac:dyDescent="0.3">
      <c r="B12" s="5"/>
      <c r="C12"/>
      <c r="D12"/>
      <c r="E12"/>
      <c r="F12"/>
      <c r="G12"/>
      <c r="H12" s="6"/>
      <c r="J12" s="20">
        <f>(J23*0.25)/1.25</f>
        <v>128165.91214976141</v>
      </c>
      <c r="K12" s="21" t="s">
        <v>13</v>
      </c>
      <c r="L12" s="27"/>
    </row>
    <row r="13" spans="2:13" ht="15" thickBot="1" x14ac:dyDescent="0.35">
      <c r="B13" s="5"/>
      <c r="C13" s="29" t="s">
        <v>14</v>
      </c>
      <c r="D13" s="29"/>
      <c r="E13" s="29"/>
      <c r="F13" s="29"/>
      <c r="G13" s="30">
        <f>+G8+G11+G10</f>
        <v>673750</v>
      </c>
      <c r="H13" s="6"/>
      <c r="I13" s="31"/>
      <c r="J13" s="20">
        <f>+'DATOS PARAMETROS'!B7*'DATOS PARAMETROS'!B4</f>
        <v>3610817.9999999995</v>
      </c>
      <c r="K13" s="21" t="s">
        <v>15</v>
      </c>
      <c r="L13" s="27"/>
    </row>
    <row r="14" spans="2:13" x14ac:dyDescent="0.3">
      <c r="B14" s="5"/>
      <c r="C14" s="32"/>
      <c r="D14" s="32"/>
      <c r="E14" s="32"/>
      <c r="F14" s="32"/>
      <c r="G14" s="33"/>
      <c r="H14" s="6"/>
      <c r="I14" s="31"/>
      <c r="J14" s="20">
        <f>+'DATOS PARAMETROS'!B8*'DATOS PARAMETROS'!B4</f>
        <v>5424251.0399999991</v>
      </c>
      <c r="K14" s="21" t="s">
        <v>16</v>
      </c>
      <c r="L14" s="27"/>
    </row>
    <row r="15" spans="2:13" x14ac:dyDescent="0.3">
      <c r="B15" s="5"/>
      <c r="C15" s="12" t="s">
        <v>0</v>
      </c>
      <c r="D15" s="34"/>
      <c r="E15" s="34"/>
      <c r="F15" s="34"/>
      <c r="G15" s="126">
        <v>75000</v>
      </c>
      <c r="H15" s="6"/>
      <c r="J15" s="20">
        <f>((F23+F24)/100)*J13</f>
        <v>659696.44859999989</v>
      </c>
      <c r="K15" s="21" t="s">
        <v>17</v>
      </c>
      <c r="L15" s="27"/>
    </row>
    <row r="16" spans="2:13" x14ac:dyDescent="0.3">
      <c r="B16" s="5"/>
      <c r="C16" s="22" t="s">
        <v>18</v>
      </c>
      <c r="D16" s="35"/>
      <c r="E16" s="35"/>
      <c r="F16" s="35"/>
      <c r="G16" s="127">
        <v>75000</v>
      </c>
      <c r="H16" s="6"/>
      <c r="J16" s="36">
        <f>+J21+J15</f>
        <v>1183446.4485999998</v>
      </c>
      <c r="K16" s="21" t="s">
        <v>19</v>
      </c>
      <c r="L16" s="27"/>
    </row>
    <row r="17" spans="2:18" x14ac:dyDescent="0.3">
      <c r="B17" s="5"/>
      <c r="C17" s="22" t="s">
        <v>20</v>
      </c>
      <c r="D17" s="35"/>
      <c r="E17" s="35"/>
      <c r="F17" s="35"/>
      <c r="G17" s="127"/>
      <c r="H17" s="6"/>
      <c r="J17" s="20" t="str">
        <f>IF(J16&gt;J13,"SI","NO")</f>
        <v>NO</v>
      </c>
      <c r="K17" s="21" t="s">
        <v>21</v>
      </c>
      <c r="L17" s="27"/>
    </row>
    <row r="18" spans="2:18" s="28" customFormat="1" x14ac:dyDescent="0.3">
      <c r="B18" s="38"/>
      <c r="C18" s="22" t="s">
        <v>20</v>
      </c>
      <c r="D18" s="35"/>
      <c r="E18" s="35"/>
      <c r="F18" s="35"/>
      <c r="G18" s="127"/>
      <c r="H18" s="6"/>
      <c r="J18" s="39">
        <f>+G13</f>
        <v>673750</v>
      </c>
      <c r="K18" s="40" t="s">
        <v>2</v>
      </c>
    </row>
    <row r="19" spans="2:18" x14ac:dyDescent="0.3">
      <c r="B19" s="5"/>
      <c r="C19" s="32"/>
      <c r="D19" s="32"/>
      <c r="E19" s="32"/>
      <c r="F19" s="32"/>
      <c r="G19" s="33"/>
      <c r="H19" s="6"/>
      <c r="J19" s="39">
        <f>G20</f>
        <v>150000</v>
      </c>
      <c r="K19" s="40" t="s">
        <v>22</v>
      </c>
      <c r="M19" s="28"/>
    </row>
    <row r="20" spans="2:18" ht="15" thickBot="1" x14ac:dyDescent="0.35">
      <c r="B20" s="5"/>
      <c r="C20" s="29" t="s">
        <v>23</v>
      </c>
      <c r="D20" s="29"/>
      <c r="E20" s="29"/>
      <c r="F20" s="29"/>
      <c r="G20" s="41">
        <f>SUM(G15:G18)</f>
        <v>150000</v>
      </c>
      <c r="H20" s="6"/>
      <c r="J20" s="39">
        <f>+G10</f>
        <v>0</v>
      </c>
      <c r="K20" s="40" t="s">
        <v>24</v>
      </c>
      <c r="M20" s="42" t="s">
        <v>25</v>
      </c>
      <c r="N20" s="42"/>
      <c r="O20" s="42"/>
      <c r="P20" s="42"/>
      <c r="Q20" s="43"/>
      <c r="R20" s="44"/>
    </row>
    <row r="21" spans="2:18" ht="15.6" x14ac:dyDescent="0.3">
      <c r="B21" s="5"/>
      <c r="C21" s="162" t="str">
        <f>IF(AND(C24="FONASA",D27&gt;0),"ATENCION NO PUEDE TENER PLAN ISAPRE CON FONASA","")</f>
        <v/>
      </c>
      <c r="D21" s="162"/>
      <c r="E21" s="162"/>
      <c r="F21" s="162"/>
      <c r="G21" s="33"/>
      <c r="H21" s="6"/>
      <c r="I21" s="45"/>
      <c r="J21" s="46">
        <f>+J18-J19</f>
        <v>523750</v>
      </c>
      <c r="K21" s="40" t="s">
        <v>26</v>
      </c>
      <c r="M21" s="47" t="s">
        <v>27</v>
      </c>
      <c r="N21" s="48" t="s">
        <v>28</v>
      </c>
      <c r="O21" s="49" t="s">
        <v>3</v>
      </c>
      <c r="P21" s="43"/>
      <c r="Q21" s="43"/>
      <c r="R21" s="44"/>
    </row>
    <row r="22" spans="2:18" ht="15" thickBot="1" x14ac:dyDescent="0.35">
      <c r="B22" s="5"/>
      <c r="C22" s="12" t="s">
        <v>29</v>
      </c>
      <c r="D22" s="12"/>
      <c r="E22" s="12"/>
      <c r="F22" s="12"/>
      <c r="G22" s="50">
        <f>+J28</f>
        <v>550655.875</v>
      </c>
      <c r="H22" s="6"/>
      <c r="I22" s="27"/>
      <c r="J22" s="51">
        <f>100-(F23+F24+F25)</f>
        <v>81.73</v>
      </c>
      <c r="K22" s="40" t="s">
        <v>30</v>
      </c>
      <c r="M22" s="52">
        <f>+G22</f>
        <v>550655.875</v>
      </c>
      <c r="N22" s="53">
        <f>IF(AND($M$22&gt;=N25,$M$22&lt;=O25),R25,IF(AND($M$22&gt;N26,$M$22&lt;=O26),R26,IF(AND($M$22&gt;N27,M22&lt;=O27),R27,IF(AND(M22&gt;N28,M22&lt;=O28),R28,IF(IF(M22&gt;N29,M22&lt;=O29),R29,IF(AND(M22&gt;N30,M22&lt;=O30),R30,IF(AND(M22&gt;N31,M22&lt;=O31),R31,R32)))))))</f>
        <v>0</v>
      </c>
      <c r="O22" s="53">
        <f>+E6</f>
        <v>69889</v>
      </c>
      <c r="P22" s="44"/>
      <c r="Q22" s="44"/>
      <c r="R22" s="44"/>
    </row>
    <row r="23" spans="2:18" ht="15" thickBot="1" x14ac:dyDescent="0.35">
      <c r="B23" s="5"/>
      <c r="C23" s="128" t="s">
        <v>69</v>
      </c>
      <c r="D23" s="166" t="s">
        <v>32</v>
      </c>
      <c r="E23" s="166"/>
      <c r="F23" s="54">
        <f>VLOOKUP(C23,'DATOS PARAMETROS'!E5:I11,5,0)</f>
        <v>11.27</v>
      </c>
      <c r="G23" s="55">
        <f>IF(G13&lt;=J13,(F23/100)*-G13,(F23/100)*-J13)</f>
        <v>-75931.625</v>
      </c>
      <c r="H23" s="6"/>
      <c r="I23" s="27"/>
      <c r="J23" s="39">
        <f>IF((J21*100)/J22&lt;=J13,(J21*100)/J22,(J13*100)/J22)</f>
        <v>640829.56074880704</v>
      </c>
      <c r="K23" s="40" t="s">
        <v>33</v>
      </c>
      <c r="M23" s="44"/>
      <c r="N23" s="44"/>
      <c r="O23" s="44"/>
      <c r="P23" s="44"/>
      <c r="Q23" s="44"/>
      <c r="R23" s="44"/>
    </row>
    <row r="24" spans="2:18" x14ac:dyDescent="0.3">
      <c r="B24" s="5"/>
      <c r="C24" s="128" t="s">
        <v>34</v>
      </c>
      <c r="D24" s="56" t="s">
        <v>32</v>
      </c>
      <c r="E24" s="57"/>
      <c r="F24" s="54">
        <v>7</v>
      </c>
      <c r="G24" s="55">
        <f>IF(G13&lt;=J13,(F24/100)*-G13,(F24/100)*-J13)</f>
        <v>-47162.500000000007</v>
      </c>
      <c r="H24" s="6"/>
      <c r="I24" s="27"/>
      <c r="J24" s="39">
        <f>+D27*'DATOS PARAMETROS'!B4</f>
        <v>0</v>
      </c>
      <c r="K24" s="40" t="s">
        <v>35</v>
      </c>
      <c r="M24" s="58" t="s">
        <v>36</v>
      </c>
      <c r="N24" s="59" t="s">
        <v>37</v>
      </c>
      <c r="O24" s="59" t="s">
        <v>1</v>
      </c>
      <c r="P24" s="59" t="s">
        <v>38</v>
      </c>
      <c r="Q24" s="59" t="s">
        <v>39</v>
      </c>
      <c r="R24" s="60" t="s">
        <v>40</v>
      </c>
    </row>
    <row r="25" spans="2:18" x14ac:dyDescent="0.3">
      <c r="B25" s="5"/>
      <c r="C25" t="s">
        <v>41</v>
      </c>
      <c r="D25" s="128" t="s">
        <v>42</v>
      </c>
      <c r="E25"/>
      <c r="F25" s="61" t="str">
        <f>IF(D25="INDEFINIDO",0.6,"0")</f>
        <v>0</v>
      </c>
      <c r="G25" s="55">
        <f>IF(G13&lt;=J14,(F25/100)*-G13,(F25/100)*-J14)</f>
        <v>0</v>
      </c>
      <c r="H25" s="6"/>
      <c r="J25" s="39">
        <f>+G24*-1</f>
        <v>47162.500000000007</v>
      </c>
      <c r="K25" s="40" t="s">
        <v>43</v>
      </c>
      <c r="M25" s="62">
        <f>+M22*P25</f>
        <v>0</v>
      </c>
      <c r="N25" s="63">
        <v>0</v>
      </c>
      <c r="O25" s="63">
        <f>13.5*O22</f>
        <v>943501.5</v>
      </c>
      <c r="P25" s="64">
        <v>0</v>
      </c>
      <c r="Q25" s="65">
        <v>0</v>
      </c>
      <c r="R25" s="66">
        <f>(M22*P25)-Q25</f>
        <v>0</v>
      </c>
    </row>
    <row r="26" spans="2:18" x14ac:dyDescent="0.3">
      <c r="B26" s="5"/>
      <c r="C26" t="s">
        <v>44</v>
      </c>
      <c r="D26"/>
      <c r="E26"/>
      <c r="F26"/>
      <c r="G26"/>
      <c r="H26" s="6"/>
      <c r="I26" s="31"/>
      <c r="J26" s="39">
        <f>IF(D11="MENSUAL",IF(J12&lt;=J10,J12,J10),0)</f>
        <v>128165.91214976141</v>
      </c>
      <c r="K26" s="40" t="s">
        <v>45</v>
      </c>
      <c r="L26" s="28"/>
      <c r="M26" s="67">
        <f>+(M22*P26)-Q26</f>
        <v>-15713.825000000004</v>
      </c>
      <c r="N26" s="68">
        <f t="shared" ref="N26:N32" si="0">+O25</f>
        <v>943501.5</v>
      </c>
      <c r="O26" s="68">
        <f>30*O22</f>
        <v>2096670</v>
      </c>
      <c r="P26" s="69">
        <v>0.04</v>
      </c>
      <c r="Q26" s="70">
        <f>0.54*O22</f>
        <v>37740.060000000005</v>
      </c>
      <c r="R26" s="71" t="str">
        <f t="shared" ref="R26:R32" si="1">IF(M26&lt;=0,"0",M26)</f>
        <v>0</v>
      </c>
    </row>
    <row r="27" spans="2:18" ht="15" thickBot="1" x14ac:dyDescent="0.35">
      <c r="B27" s="5"/>
      <c r="C27" t="s">
        <v>46</v>
      </c>
      <c r="D27" s="155"/>
      <c r="E27"/>
      <c r="F27" s="72" t="s">
        <v>47</v>
      </c>
      <c r="G27" s="73">
        <f>IF(OR(C36=1,C36=2),J30,0)</f>
        <v>0</v>
      </c>
      <c r="H27" s="6"/>
      <c r="I27" s="31"/>
      <c r="J27" s="74">
        <f>IF(J17="SI",J21+J15-J20-J26,(J23-J26-J20))</f>
        <v>512663.64859904564</v>
      </c>
      <c r="K27" s="75" t="s">
        <v>5</v>
      </c>
      <c r="L27" s="28"/>
      <c r="M27" s="67">
        <f>+(M22*P27)-Q27</f>
        <v>-77554.39</v>
      </c>
      <c r="N27" s="68">
        <f t="shared" si="0"/>
        <v>2096670</v>
      </c>
      <c r="O27" s="68">
        <f>50*O22</f>
        <v>3494450</v>
      </c>
      <c r="P27" s="69">
        <v>0.08</v>
      </c>
      <c r="Q27" s="70">
        <f>1.74*O22</f>
        <v>121606.86</v>
      </c>
      <c r="R27" s="71" t="str">
        <f t="shared" si="1"/>
        <v>0</v>
      </c>
    </row>
    <row r="28" spans="2:18" x14ac:dyDescent="0.3">
      <c r="B28" s="5"/>
      <c r="C28" t="s">
        <v>48</v>
      </c>
      <c r="D28" s="61"/>
      <c r="E28" s="61"/>
      <c r="F28" s="61"/>
      <c r="G28" s="73">
        <f>IF(OR(OR(C36=1,C36=2)),J31,0)</f>
        <v>0</v>
      </c>
      <c r="H28" s="6"/>
      <c r="J28" s="76">
        <f>+G13+G23+G24+G25</f>
        <v>550655.875</v>
      </c>
      <c r="K28" s="77" t="s">
        <v>49</v>
      </c>
      <c r="M28" s="67">
        <f>+(M22*P28)-Q28</f>
        <v>-239463.06687499996</v>
      </c>
      <c r="N28" s="68">
        <f t="shared" si="0"/>
        <v>3494450</v>
      </c>
      <c r="O28" s="68">
        <f>70*O22</f>
        <v>4892230</v>
      </c>
      <c r="P28" s="78">
        <v>0.13500000000000001</v>
      </c>
      <c r="Q28" s="70">
        <f>4.49*O22</f>
        <v>313801.61</v>
      </c>
      <c r="R28" s="71" t="str">
        <f t="shared" si="1"/>
        <v>0</v>
      </c>
    </row>
    <row r="29" spans="2:18" ht="15" thickBot="1" x14ac:dyDescent="0.35">
      <c r="B29" s="5"/>
      <c r="C29" s="29" t="s">
        <v>50</v>
      </c>
      <c r="D29" s="29"/>
      <c r="E29" s="29"/>
      <c r="F29" s="29"/>
      <c r="G29" s="79">
        <f>SUM(G23:G24)+G25+G27+G28</f>
        <v>-123094.125</v>
      </c>
      <c r="H29" s="6"/>
      <c r="I29" s="45"/>
      <c r="J29" s="80">
        <f>IF(IF(D27&gt;0,(J24-(('DATOS PARAMETROS'!B7*7%)*G6)),0)&lt;0,0,IF(D27&gt;0,(J24-(('DATOS PARAMETROS'!B7*7%)*G6)),0))</f>
        <v>0</v>
      </c>
      <c r="K29" s="81" t="s">
        <v>51</v>
      </c>
      <c r="M29" s="67">
        <f>+(M22*P29)-Q29</f>
        <v>-651912.60875000013</v>
      </c>
      <c r="N29" s="68">
        <f t="shared" si="0"/>
        <v>4892230</v>
      </c>
      <c r="O29" s="68">
        <f>90*O22</f>
        <v>6290010</v>
      </c>
      <c r="P29" s="69">
        <v>0.23</v>
      </c>
      <c r="Q29" s="70">
        <f>11.14*O22</f>
        <v>778563.46000000008</v>
      </c>
      <c r="R29" s="71" t="str">
        <f t="shared" si="1"/>
        <v>0</v>
      </c>
    </row>
    <row r="30" spans="2:18" x14ac:dyDescent="0.3">
      <c r="B30" s="5"/>
      <c r="C30" t="s">
        <v>52</v>
      </c>
      <c r="D30"/>
      <c r="E30"/>
      <c r="F30"/>
      <c r="G30" s="73">
        <f>IF(C36=1,(+G25+J30+J31)*-1,0)</f>
        <v>0</v>
      </c>
      <c r="H30" s="6"/>
      <c r="J30" s="82">
        <f>IF(J24&gt;J25,J24-J25,0)*-1</f>
        <v>0</v>
      </c>
      <c r="K30" s="77" t="s">
        <v>47</v>
      </c>
      <c r="M30" s="67">
        <f>+(M22*P30)-Q30</f>
        <v>-1076624.814</v>
      </c>
      <c r="N30" s="68">
        <f t="shared" si="0"/>
        <v>6290010</v>
      </c>
      <c r="O30" s="68">
        <f>120*O22</f>
        <v>8386680</v>
      </c>
      <c r="P30" s="78">
        <v>0.30399999999999999</v>
      </c>
      <c r="Q30" s="70">
        <f>17.8*O22</f>
        <v>1244024.2</v>
      </c>
      <c r="R30" s="71" t="str">
        <f t="shared" si="1"/>
        <v>0</v>
      </c>
    </row>
    <row r="31" spans="2:18" ht="15" thickBot="1" x14ac:dyDescent="0.35">
      <c r="B31" s="5"/>
      <c r="C31" s="29" t="s">
        <v>53</v>
      </c>
      <c r="D31" s="29"/>
      <c r="E31" s="29"/>
      <c r="F31" s="29"/>
      <c r="G31" s="79">
        <f>+G13+G20+G23+G24+G25+G27+G28+G30</f>
        <v>700655.875</v>
      </c>
      <c r="H31" s="83"/>
      <c r="J31" s="84">
        <f>+N22*-1</f>
        <v>0</v>
      </c>
      <c r="K31" s="85" t="s">
        <v>54</v>
      </c>
      <c r="M31" s="67">
        <f>+(M22*P31)-Q31</f>
        <v>-1437081.9237500001</v>
      </c>
      <c r="N31" s="68">
        <f t="shared" si="0"/>
        <v>8386680</v>
      </c>
      <c r="O31" s="68">
        <f>150*O22</f>
        <v>10483350</v>
      </c>
      <c r="P31" s="69">
        <v>0.35</v>
      </c>
      <c r="Q31" s="70">
        <f>23.32*O22</f>
        <v>1629811.48</v>
      </c>
      <c r="R31" s="71" t="str">
        <f t="shared" si="1"/>
        <v>0</v>
      </c>
    </row>
    <row r="32" spans="2:18" ht="15" thickBot="1" x14ac:dyDescent="0.35">
      <c r="B32" s="5"/>
      <c r="C32"/>
      <c r="D32"/>
      <c r="E32"/>
      <c r="F32"/>
      <c r="G32" s="86"/>
      <c r="H32" s="83"/>
      <c r="J32" s="82"/>
      <c r="K32" s="77"/>
      <c r="M32" s="87">
        <f>+(M22*P32)-Q32</f>
        <v>-1933716.63</v>
      </c>
      <c r="N32" s="88">
        <f t="shared" si="0"/>
        <v>10483350</v>
      </c>
      <c r="O32" s="89">
        <v>999999999.99000001</v>
      </c>
      <c r="P32" s="90">
        <v>0.4</v>
      </c>
      <c r="Q32" s="90">
        <f>30.82*O22</f>
        <v>2153978.98</v>
      </c>
      <c r="R32" s="91" t="str">
        <f t="shared" si="1"/>
        <v>0</v>
      </c>
    </row>
    <row r="33" spans="2:11" ht="15" thickBot="1" x14ac:dyDescent="0.35">
      <c r="B33" s="5"/>
      <c r="C33"/>
      <c r="D33"/>
      <c r="E33"/>
      <c r="F33"/>
      <c r="G33" s="86"/>
      <c r="H33" s="6"/>
      <c r="J33" s="84"/>
      <c r="K33" s="85"/>
    </row>
    <row r="34" spans="2:11" ht="15" thickBot="1" x14ac:dyDescent="0.35">
      <c r="B34" s="5"/>
      <c r="C34" s="29" t="s">
        <v>55</v>
      </c>
      <c r="D34" s="29"/>
      <c r="E34" s="29"/>
      <c r="F34" s="29"/>
      <c r="G34" s="79">
        <f>+G31+G32</f>
        <v>700655.875</v>
      </c>
      <c r="H34" s="6"/>
      <c r="J34" s="45"/>
    </row>
    <row r="35" spans="2:11" ht="15" thickBot="1" x14ac:dyDescent="0.35">
      <c r="B35" s="5"/>
      <c r="C35" s="29"/>
      <c r="D35" s="29"/>
      <c r="E35" s="29"/>
      <c r="F35" s="29"/>
      <c r="G35" s="92"/>
      <c r="H35" s="6"/>
      <c r="K35" s="25"/>
    </row>
    <row r="36" spans="2:11" ht="6.75" customHeight="1" x14ac:dyDescent="0.3">
      <c r="B36" s="5"/>
      <c r="C36">
        <v>2</v>
      </c>
      <c r="D36"/>
      <c r="E36"/>
      <c r="F36"/>
      <c r="G36"/>
      <c r="H36" s="6"/>
      <c r="J36" s="93"/>
      <c r="K36" s="25"/>
    </row>
    <row r="37" spans="2:11" x14ac:dyDescent="0.3">
      <c r="B37" s="5"/>
      <c r="C37"/>
      <c r="D37"/>
      <c r="E37"/>
      <c r="F37"/>
      <c r="G37"/>
      <c r="H37" s="6"/>
      <c r="J37" s="93"/>
      <c r="K37" s="25"/>
    </row>
    <row r="38" spans="2:11" ht="15" thickBot="1" x14ac:dyDescent="0.35">
      <c r="B38" s="94"/>
      <c r="C38" s="95"/>
      <c r="D38" s="95"/>
      <c r="E38" s="95"/>
      <c r="F38" s="95"/>
      <c r="G38" s="95"/>
      <c r="H38" s="96"/>
      <c r="J38" s="93"/>
      <c r="K38" s="31"/>
    </row>
    <row r="39" spans="2:11" ht="15" thickTop="1" x14ac:dyDescent="0.3">
      <c r="J39" s="13"/>
    </row>
    <row r="40" spans="2:11" x14ac:dyDescent="0.3">
      <c r="J40" s="27"/>
    </row>
  </sheetData>
  <mergeCells count="4">
    <mergeCell ref="C21:F21"/>
    <mergeCell ref="D23:E23"/>
    <mergeCell ref="C4:G4"/>
    <mergeCell ref="C5:G5"/>
  </mergeCells>
  <conditionalFormatting sqref="C21:F21">
    <cfRule type="containsText" dxfId="0" priority="1" operator="containsText" text="ATENCION NO PUEDE TENER PLAN ISAPRE CON FONASA">
      <formula>NOT(ISERROR(SEARCH("ATENCION NO PUEDE TENER PLAN ISAPRE CON FONASA",C21)))</formula>
    </cfRule>
  </conditionalFormatting>
  <pageMargins left="0.70866141732283472" right="0.70866141732283472" top="0.74803149606299213" bottom="0.74803149606299213" header="0.31496062992125984" footer="0.31496062992125984"/>
  <pageSetup scale="9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Option Button 1">
              <controlPr defaultSize="0" autoFill="0" autoLine="0" autoPict="0">
                <anchor moveWithCells="1">
                  <from>
                    <xdr:col>4</xdr:col>
                    <xdr:colOff>525780</xdr:colOff>
                    <xdr:row>24</xdr:row>
                    <xdr:rowOff>182880</xdr:rowOff>
                  </from>
                  <to>
                    <xdr:col>4</xdr:col>
                    <xdr:colOff>830580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Option Button 2">
              <controlPr defaultSize="0" autoFill="0" autoLine="0" autoPict="0">
                <anchor moveWithCells="1">
                  <from>
                    <xdr:col>6</xdr:col>
                    <xdr:colOff>220980</xdr:colOff>
                    <xdr:row>24</xdr:row>
                    <xdr:rowOff>175260</xdr:rowOff>
                  </from>
                  <to>
                    <xdr:col>6</xdr:col>
                    <xdr:colOff>525780</xdr:colOff>
                    <xdr:row>26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D2D3EBF-65E9-460D-95A0-A2485C33BFAA}">
          <x14:formula1>
            <xm:f>'DATOS PARAMETROS'!$L$33:$L$39</xm:f>
          </x14:formula1>
          <xm:sqref>C24</xm:sqref>
        </x14:dataValidation>
        <x14:dataValidation type="list" allowBlank="1" showInputMessage="1" showErrorMessage="1" xr:uid="{C3948CC3-0905-432A-9107-4D43DEB273D2}">
          <x14:formula1>
            <xm:f>'DATOS PARAMETROS'!$L$24:$L$25</xm:f>
          </x14:formula1>
          <xm:sqref>D25</xm:sqref>
        </x14:dataValidation>
        <x14:dataValidation type="list" allowBlank="1" showInputMessage="1" showErrorMessage="1" xr:uid="{F1361999-F336-4037-8F35-56F507752B00}">
          <x14:formula1>
            <xm:f>'DATOS PARAMETROS'!$L$29:$L$30</xm:f>
          </x14:formula1>
          <xm:sqref>D11</xm:sqref>
        </x14:dataValidation>
        <x14:dataValidation type="list" allowBlank="1" showInputMessage="1" showErrorMessage="1" xr:uid="{9C6722C5-BE00-46A3-BB2A-BCE6E2EF6C33}">
          <x14:formula1>
            <xm:f>'DATOS PARAMETROS'!$E$5:$E$12</xm:f>
          </x14:formula1>
          <xm:sqref>C23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9DCF-945F-4DE6-AA79-0FFD448BFDFB}">
  <dimension ref="A2:C18"/>
  <sheetViews>
    <sheetView workbookViewId="0">
      <selection activeCell="B29" sqref="B29"/>
    </sheetView>
  </sheetViews>
  <sheetFormatPr baseColWidth="10" defaultRowHeight="14.4" x14ac:dyDescent="0.3"/>
  <cols>
    <col min="1" max="1" width="25.77734375" bestFit="1" customWidth="1"/>
    <col min="2" max="2" width="16.5546875" bestFit="1" customWidth="1"/>
  </cols>
  <sheetData>
    <row r="2" spans="1:3" x14ac:dyDescent="0.3">
      <c r="A2" s="156" t="s">
        <v>108</v>
      </c>
      <c r="B2" s="157"/>
      <c r="C2" s="158"/>
    </row>
    <row r="3" spans="1:3" x14ac:dyDescent="0.3">
      <c r="A3" s="98"/>
      <c r="B3" s="98"/>
      <c r="C3" s="98"/>
    </row>
    <row r="4" spans="1:3" x14ac:dyDescent="0.3">
      <c r="A4" s="137" t="s">
        <v>53</v>
      </c>
      <c r="B4" s="138"/>
      <c r="C4" s="138">
        <f>'CALCULO SUELDO LIQ. A BRUTO'!G33</f>
        <v>850000</v>
      </c>
    </row>
    <row r="5" spans="1:3" x14ac:dyDescent="0.3">
      <c r="A5" s="98"/>
      <c r="B5" s="98"/>
      <c r="C5" s="98"/>
    </row>
    <row r="6" spans="1:3" x14ac:dyDescent="0.3">
      <c r="A6" s="98" t="s">
        <v>101</v>
      </c>
      <c r="B6" s="139" t="s">
        <v>100</v>
      </c>
      <c r="C6" s="153">
        <f>('CALCULO SUELDO LIQ. A BRUTO'!G23)*-1</f>
        <v>48340.198691543505</v>
      </c>
    </row>
    <row r="7" spans="1:3" x14ac:dyDescent="0.3">
      <c r="A7" s="98"/>
      <c r="B7" s="98" t="s">
        <v>62</v>
      </c>
      <c r="C7" s="153">
        <f>('CALCULO SUELDO LIQ. A BRUTO'!G22)*-1</f>
        <v>72234.06833050643</v>
      </c>
    </row>
    <row r="8" spans="1:3" x14ac:dyDescent="0.3">
      <c r="A8" s="98"/>
      <c r="B8" s="98" t="s">
        <v>102</v>
      </c>
      <c r="C8" s="153">
        <f>('CALCULO SUELDO LIQ. A BRUTO'!G24)*-1</f>
        <v>0</v>
      </c>
    </row>
    <row r="9" spans="1:3" x14ac:dyDescent="0.3">
      <c r="A9" s="98"/>
      <c r="B9" s="98" t="s">
        <v>103</v>
      </c>
      <c r="C9" s="153">
        <f>('CALCULO SUELDO LIQ. A BRUTO'!G27)*-1</f>
        <v>0</v>
      </c>
    </row>
    <row r="10" spans="1:3" x14ac:dyDescent="0.3">
      <c r="A10" s="137" t="s">
        <v>105</v>
      </c>
      <c r="B10" s="137"/>
      <c r="C10" s="138">
        <f>SUM(C6:C9)</f>
        <v>120574.26702204993</v>
      </c>
    </row>
    <row r="11" spans="1:3" x14ac:dyDescent="0.3">
      <c r="A11" s="98"/>
      <c r="B11" s="98"/>
      <c r="C11" s="153"/>
    </row>
    <row r="12" spans="1:3" x14ac:dyDescent="0.3">
      <c r="A12" s="98" t="s">
        <v>104</v>
      </c>
      <c r="B12" s="98" t="s">
        <v>102</v>
      </c>
      <c r="C12" s="153">
        <f>'CALCULO SUELDO LIQ. A BRUTO'!J34</f>
        <v>20717.2280106615</v>
      </c>
    </row>
    <row r="13" spans="1:3" x14ac:dyDescent="0.3">
      <c r="A13" s="98"/>
      <c r="B13" s="98" t="s">
        <v>64</v>
      </c>
      <c r="C13" s="153">
        <f>'CALCULO SUELDO LIQ. A BRUTO'!J33</f>
        <v>11187.303125757209</v>
      </c>
    </row>
    <row r="14" spans="1:3" x14ac:dyDescent="0.3">
      <c r="A14" s="98"/>
      <c r="B14" s="98" t="s">
        <v>106</v>
      </c>
      <c r="C14" s="153">
        <f>'CALCULO SUELDO LIQ. A BRUTO'!J36</f>
        <v>24031.984492367337</v>
      </c>
    </row>
    <row r="15" spans="1:3" x14ac:dyDescent="0.3">
      <c r="A15" s="98"/>
      <c r="B15" s="98" t="s">
        <v>144</v>
      </c>
      <c r="C15" s="153">
        <f>'CALCULO SUELDO LIQ. A BRUTO'!J37</f>
        <v>6905.7426702205003</v>
      </c>
    </row>
    <row r="16" spans="1:3" x14ac:dyDescent="0.3">
      <c r="A16" s="137" t="s">
        <v>107</v>
      </c>
      <c r="B16" s="137"/>
      <c r="C16" s="138">
        <f>SUM(C12:C15)</f>
        <v>62842.258299006542</v>
      </c>
    </row>
    <row r="17" spans="1:3" x14ac:dyDescent="0.3">
      <c r="A17" s="98"/>
      <c r="B17" s="98"/>
      <c r="C17" s="153"/>
    </row>
    <row r="18" spans="1:3" x14ac:dyDescent="0.3">
      <c r="A18" s="137" t="s">
        <v>142</v>
      </c>
      <c r="B18" s="137"/>
      <c r="C18" s="138">
        <f>SUM(C10+C16)</f>
        <v>183416.52532105648</v>
      </c>
    </row>
  </sheetData>
  <mergeCells count="1">
    <mergeCell ref="A2:C2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BDF0-C6F3-4531-A4B0-0F492D102BA1}">
  <dimension ref="A2:K21"/>
  <sheetViews>
    <sheetView workbookViewId="0">
      <selection activeCell="F24" sqref="F24"/>
    </sheetView>
  </sheetViews>
  <sheetFormatPr baseColWidth="10" defaultRowHeight="14.4" x14ac:dyDescent="0.3"/>
  <cols>
    <col min="1" max="1" width="22" bestFit="1" customWidth="1"/>
    <col min="2" max="2" width="14.33203125" bestFit="1" customWidth="1"/>
    <col min="3" max="3" width="12.6640625" bestFit="1" customWidth="1"/>
    <col min="6" max="6" width="22" bestFit="1" customWidth="1"/>
    <col min="7" max="7" width="14.33203125" bestFit="1" customWidth="1"/>
    <col min="8" max="8" width="12.6640625" bestFit="1" customWidth="1"/>
  </cols>
  <sheetData>
    <row r="2" spans="1:11" x14ac:dyDescent="0.3">
      <c r="A2" s="156" t="s">
        <v>109</v>
      </c>
      <c r="B2" s="157"/>
      <c r="C2" s="157"/>
      <c r="D2" s="158"/>
      <c r="F2" s="168" t="s">
        <v>122</v>
      </c>
      <c r="G2" s="169"/>
      <c r="H2" s="169"/>
      <c r="I2" s="169"/>
      <c r="J2" s="169"/>
    </row>
    <row r="3" spans="1:11" x14ac:dyDescent="0.3">
      <c r="A3" s="101"/>
      <c r="B3" s="101" t="s">
        <v>111</v>
      </c>
      <c r="C3" s="101" t="s">
        <v>112</v>
      </c>
      <c r="D3" s="101" t="s">
        <v>113</v>
      </c>
      <c r="F3" s="101"/>
      <c r="G3" s="101" t="s">
        <v>111</v>
      </c>
      <c r="H3" s="101" t="s">
        <v>112</v>
      </c>
      <c r="I3" s="101" t="s">
        <v>113</v>
      </c>
      <c r="J3" s="101" t="s">
        <v>123</v>
      </c>
    </row>
    <row r="4" spans="1:11" x14ac:dyDescent="0.3">
      <c r="A4" s="101" t="s">
        <v>110</v>
      </c>
      <c r="B4" s="140">
        <v>1800000</v>
      </c>
      <c r="C4" s="140">
        <v>463414</v>
      </c>
      <c r="D4" s="140">
        <f>SUM(B4:C4)</f>
        <v>2263414</v>
      </c>
      <c r="F4" s="101" t="s">
        <v>110</v>
      </c>
      <c r="G4" s="140">
        <v>660000</v>
      </c>
      <c r="H4" s="140">
        <v>161392</v>
      </c>
      <c r="I4" s="140">
        <f>SUM(G4:H4)</f>
        <v>821392</v>
      </c>
      <c r="J4" s="142">
        <f>B4-G4</f>
        <v>1140000</v>
      </c>
    </row>
    <row r="5" spans="1:11" x14ac:dyDescent="0.3">
      <c r="A5" s="101" t="s">
        <v>114</v>
      </c>
      <c r="B5" s="140">
        <v>1600000</v>
      </c>
      <c r="C5" s="140">
        <v>392123</v>
      </c>
      <c r="D5" s="140">
        <f>SUM(B5:C5)</f>
        <v>1992123</v>
      </c>
      <c r="F5" s="101" t="s">
        <v>114</v>
      </c>
      <c r="G5" s="140">
        <v>660000</v>
      </c>
      <c r="H5" s="140">
        <v>161392</v>
      </c>
      <c r="I5" s="140">
        <f>SUM(G5:H5)</f>
        <v>821392</v>
      </c>
      <c r="J5" s="142">
        <f t="shared" ref="J5:J11" si="0">B5-G5</f>
        <v>940000</v>
      </c>
    </row>
    <row r="6" spans="1:11" x14ac:dyDescent="0.3">
      <c r="A6" s="101" t="s">
        <v>116</v>
      </c>
      <c r="B6" s="140">
        <v>1600000</v>
      </c>
      <c r="C6" s="140">
        <v>392123</v>
      </c>
      <c r="D6" s="140">
        <f t="shared" ref="D6:D11" si="1">SUM(B6:C6)</f>
        <v>1992123</v>
      </c>
      <c r="F6" s="101" t="s">
        <v>116</v>
      </c>
      <c r="G6" s="140">
        <v>660000</v>
      </c>
      <c r="H6" s="140">
        <v>161392</v>
      </c>
      <c r="I6" s="140">
        <f t="shared" ref="I6:I11" si="2">SUM(G6:H6)</f>
        <v>821392</v>
      </c>
      <c r="J6" s="142">
        <f t="shared" si="0"/>
        <v>940000</v>
      </c>
    </row>
    <row r="7" spans="1:11" x14ac:dyDescent="0.3">
      <c r="A7" s="101" t="s">
        <v>117</v>
      </c>
      <c r="B7" s="140">
        <v>1600000</v>
      </c>
      <c r="C7" s="140">
        <v>392123</v>
      </c>
      <c r="D7" s="140">
        <f t="shared" si="1"/>
        <v>1992123</v>
      </c>
      <c r="F7" s="101" t="s">
        <v>117</v>
      </c>
      <c r="G7" s="140">
        <v>660000</v>
      </c>
      <c r="H7" s="140">
        <v>161392</v>
      </c>
      <c r="I7" s="140">
        <f t="shared" si="2"/>
        <v>821392</v>
      </c>
      <c r="J7" s="142">
        <f t="shared" si="0"/>
        <v>940000</v>
      </c>
    </row>
    <row r="8" spans="1:11" x14ac:dyDescent="0.3">
      <c r="A8" s="101" t="s">
        <v>115</v>
      </c>
      <c r="B8" s="140">
        <v>1400000</v>
      </c>
      <c r="C8" s="140">
        <v>356477</v>
      </c>
      <c r="D8" s="140">
        <f t="shared" si="1"/>
        <v>1756477</v>
      </c>
      <c r="F8" s="101" t="s">
        <v>115</v>
      </c>
      <c r="G8" s="140">
        <v>660000</v>
      </c>
      <c r="H8" s="140">
        <v>161392</v>
      </c>
      <c r="I8" s="140">
        <f t="shared" si="2"/>
        <v>821392</v>
      </c>
      <c r="J8" s="142">
        <f t="shared" si="0"/>
        <v>740000</v>
      </c>
    </row>
    <row r="9" spans="1:11" x14ac:dyDescent="0.3">
      <c r="A9" s="101" t="s">
        <v>118</v>
      </c>
      <c r="B9" s="140">
        <v>1400000</v>
      </c>
      <c r="C9" s="140">
        <v>356477</v>
      </c>
      <c r="D9" s="140">
        <f t="shared" si="1"/>
        <v>1756477</v>
      </c>
      <c r="F9" s="101" t="s">
        <v>118</v>
      </c>
      <c r="G9" s="140">
        <v>660000</v>
      </c>
      <c r="H9" s="140">
        <v>161392</v>
      </c>
      <c r="I9" s="140">
        <f t="shared" si="2"/>
        <v>821392</v>
      </c>
      <c r="J9" s="142">
        <f t="shared" si="0"/>
        <v>740000</v>
      </c>
    </row>
    <row r="10" spans="1:11" x14ac:dyDescent="0.3">
      <c r="A10" s="101" t="s">
        <v>119</v>
      </c>
      <c r="B10" s="140">
        <v>1400000</v>
      </c>
      <c r="C10" s="140">
        <v>356477</v>
      </c>
      <c r="D10" s="140">
        <f t="shared" si="1"/>
        <v>1756477</v>
      </c>
      <c r="F10" s="101" t="s">
        <v>119</v>
      </c>
      <c r="G10" s="140">
        <v>660000</v>
      </c>
      <c r="H10" s="140">
        <v>161392</v>
      </c>
      <c r="I10" s="140">
        <f t="shared" si="2"/>
        <v>821392</v>
      </c>
      <c r="J10" s="142">
        <f t="shared" si="0"/>
        <v>740000</v>
      </c>
    </row>
    <row r="11" spans="1:11" x14ac:dyDescent="0.3">
      <c r="A11" s="101" t="s">
        <v>120</v>
      </c>
      <c r="B11" s="140">
        <v>1400000</v>
      </c>
      <c r="C11" s="140">
        <v>356477</v>
      </c>
      <c r="D11" s="140">
        <f t="shared" si="1"/>
        <v>1756477</v>
      </c>
      <c r="F11" s="101" t="s">
        <v>120</v>
      </c>
      <c r="G11" s="140">
        <v>660000</v>
      </c>
      <c r="H11" s="140">
        <v>161392</v>
      </c>
      <c r="I11" s="140">
        <f t="shared" si="2"/>
        <v>821392</v>
      </c>
      <c r="J11" s="142">
        <f t="shared" si="0"/>
        <v>740000</v>
      </c>
    </row>
    <row r="12" spans="1:11" x14ac:dyDescent="0.3">
      <c r="A12" s="101" t="s">
        <v>121</v>
      </c>
      <c r="B12" s="140">
        <f>SUM(B4:B11)</f>
        <v>12200000</v>
      </c>
      <c r="C12" s="140">
        <f>SUM(C4:C11)</f>
        <v>3065691</v>
      </c>
      <c r="D12" s="143">
        <f>SUM(D4:D11)</f>
        <v>15265691</v>
      </c>
      <c r="F12" s="101" t="s">
        <v>121</v>
      </c>
      <c r="G12" s="140">
        <f>SUM(G4:G11)</f>
        <v>5280000</v>
      </c>
      <c r="H12" s="140">
        <f>SUM(H4:H11)</f>
        <v>1291136</v>
      </c>
      <c r="I12" s="141">
        <f>SUM(I4:I11)</f>
        <v>6571136</v>
      </c>
      <c r="J12" s="141">
        <f>SUM(J4:J11)</f>
        <v>6920000</v>
      </c>
      <c r="K12" s="144">
        <f>I12+J12</f>
        <v>13491136</v>
      </c>
    </row>
    <row r="15" spans="1:11" x14ac:dyDescent="0.3">
      <c r="A15" s="156" t="s">
        <v>129</v>
      </c>
      <c r="B15" s="158"/>
      <c r="F15" s="156" t="s">
        <v>130</v>
      </c>
      <c r="G15" s="158"/>
    </row>
    <row r="16" spans="1:11" x14ac:dyDescent="0.3">
      <c r="A16" s="98" t="s">
        <v>124</v>
      </c>
      <c r="B16" s="142">
        <v>13000000</v>
      </c>
      <c r="F16" s="145" t="s">
        <v>131</v>
      </c>
      <c r="G16" s="147">
        <v>280000</v>
      </c>
    </row>
    <row r="17" spans="1:7" x14ac:dyDescent="0.3">
      <c r="A17" s="98" t="s">
        <v>125</v>
      </c>
      <c r="B17" s="142">
        <v>6000000</v>
      </c>
      <c r="F17" s="145" t="s">
        <v>132</v>
      </c>
      <c r="G17" s="147">
        <v>113400</v>
      </c>
    </row>
    <row r="18" spans="1:7" x14ac:dyDescent="0.3">
      <c r="A18" s="98" t="s">
        <v>126</v>
      </c>
      <c r="B18" s="142">
        <v>1000000</v>
      </c>
      <c r="F18" s="145" t="s">
        <v>133</v>
      </c>
      <c r="G18" s="98">
        <v>100000</v>
      </c>
    </row>
    <row r="19" spans="1:7" x14ac:dyDescent="0.3">
      <c r="A19" s="98" t="s">
        <v>127</v>
      </c>
      <c r="B19" s="142">
        <v>700000</v>
      </c>
      <c r="F19" s="145" t="s">
        <v>121</v>
      </c>
      <c r="G19" s="148">
        <f>SUM(G16:G18)</f>
        <v>493400</v>
      </c>
    </row>
    <row r="20" spans="1:7" x14ac:dyDescent="0.3">
      <c r="A20" s="98" t="s">
        <v>128</v>
      </c>
      <c r="B20" s="142">
        <v>210000</v>
      </c>
    </row>
    <row r="21" spans="1:7" x14ac:dyDescent="0.3">
      <c r="A21" s="98" t="s">
        <v>121</v>
      </c>
      <c r="B21" s="146">
        <f>SUM(B16:B20)</f>
        <v>20910000</v>
      </c>
    </row>
  </sheetData>
  <mergeCells count="4">
    <mergeCell ref="A2:D2"/>
    <mergeCell ref="F2:J2"/>
    <mergeCell ref="A15:B15"/>
    <mergeCell ref="F15:G15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CD47-7EFD-4D03-984F-9D2FA3517F40}">
  <dimension ref="A3:D15"/>
  <sheetViews>
    <sheetView workbookViewId="0">
      <selection activeCell="B19" sqref="B19"/>
    </sheetView>
  </sheetViews>
  <sheetFormatPr baseColWidth="10" defaultRowHeight="14.4" x14ac:dyDescent="0.3"/>
  <cols>
    <col min="1" max="1" width="14.6640625" bestFit="1" customWidth="1"/>
    <col min="3" max="3" width="15.109375" bestFit="1" customWidth="1"/>
  </cols>
  <sheetData>
    <row r="3" spans="1:4" x14ac:dyDescent="0.3">
      <c r="A3" t="s">
        <v>134</v>
      </c>
      <c r="C3" s="149">
        <f>'COSTO EMPRESA'!D12</f>
        <v>15265691</v>
      </c>
      <c r="D3" t="s">
        <v>139</v>
      </c>
    </row>
    <row r="4" spans="1:4" x14ac:dyDescent="0.3">
      <c r="C4" s="149"/>
    </row>
    <row r="5" spans="1:4" x14ac:dyDescent="0.3">
      <c r="A5" t="s">
        <v>129</v>
      </c>
      <c r="C5" s="149">
        <f>'COSTO EMPRESA'!B21</f>
        <v>20910000</v>
      </c>
      <c r="D5" t="s">
        <v>140</v>
      </c>
    </row>
    <row r="6" spans="1:4" x14ac:dyDescent="0.3">
      <c r="C6" s="149"/>
    </row>
    <row r="7" spans="1:4" x14ac:dyDescent="0.3">
      <c r="A7" t="s">
        <v>135</v>
      </c>
      <c r="C7" s="149">
        <f>'COSTO EMPRESA'!G19</f>
        <v>493400</v>
      </c>
    </row>
    <row r="8" spans="1:4" x14ac:dyDescent="0.3">
      <c r="C8" s="149"/>
    </row>
    <row r="9" spans="1:4" s="150" customFormat="1" x14ac:dyDescent="0.3">
      <c r="A9" s="150" t="s">
        <v>138</v>
      </c>
      <c r="C9" s="151">
        <f>SUM(C3:C7)</f>
        <v>36669091</v>
      </c>
    </row>
    <row r="10" spans="1:4" x14ac:dyDescent="0.3">
      <c r="C10" s="149"/>
    </row>
    <row r="11" spans="1:4" x14ac:dyDescent="0.3">
      <c r="A11" t="s">
        <v>137</v>
      </c>
      <c r="C11" s="149">
        <f>C9*3%</f>
        <v>1100072.73</v>
      </c>
    </row>
    <row r="12" spans="1:4" x14ac:dyDescent="0.3">
      <c r="C12" s="149"/>
    </row>
    <row r="13" spans="1:4" x14ac:dyDescent="0.3">
      <c r="A13" t="s">
        <v>141</v>
      </c>
      <c r="C13" s="149">
        <f>C9*20%</f>
        <v>7333818.2000000002</v>
      </c>
    </row>
    <row r="14" spans="1:4" x14ac:dyDescent="0.3">
      <c r="C14" s="149"/>
    </row>
    <row r="15" spans="1:4" s="150" customFormat="1" x14ac:dyDescent="0.3">
      <c r="A15" s="150" t="s">
        <v>136</v>
      </c>
      <c r="C15" s="152">
        <f>C9+C11+C13</f>
        <v>45102981.93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DATOS PARAMETROS</vt:lpstr>
      <vt:lpstr>CALCULO SUELDO LIQ. A BRUTO</vt:lpstr>
      <vt:lpstr>CALCULO SUELDO BRUTO A LIQUIDO</vt:lpstr>
      <vt:lpstr>COSTO TRABAJADOR</vt:lpstr>
      <vt:lpstr>COSTO EMPRESA</vt:lpstr>
      <vt:lpstr>Hoja2</vt:lpstr>
      <vt:lpstr>'CALCULO SUELDO BRUTO A LIQUIDO'!Área_de_impresión</vt:lpstr>
      <vt:lpstr>'CALCULO SUELDO LIQ. A BRUTO'!Área_de_impresión</vt:lpstr>
      <vt:lpstr>'COSTO TRABAJADOR'!Área_de_impresión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Alcaino</dc:creator>
  <cp:lastModifiedBy>andres moraga</cp:lastModifiedBy>
  <cp:lastPrinted>2026-04-30T17:54:46Z</cp:lastPrinted>
  <dcterms:created xsi:type="dcterms:W3CDTF">2020-08-28T17:11:31Z</dcterms:created>
  <dcterms:modified xsi:type="dcterms:W3CDTF">2026-05-08T21:28:57Z</dcterms:modified>
</cp:coreProperties>
</file>